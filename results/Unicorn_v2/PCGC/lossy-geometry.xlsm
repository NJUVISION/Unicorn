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7" codeName="{857A39E2-67AF-9BA6-E15C-A4B3A0C75593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njuvision_zjt/Downloads/"/>
    </mc:Choice>
  </mc:AlternateContent>
  <xr:revisionPtr revIDLastSave="0" documentId="13_ncr:1_{D5862DFC-A3E9-6547-BF4D-9F94B3474C1C}" xr6:coauthVersionLast="47" xr6:coauthVersionMax="47" xr10:uidLastSave="{00000000-0000-0000-0000-000000000000}"/>
  <bookViews>
    <workbookView xWindow="0" yWindow="760" windowWidth="23260" windowHeight="12460" xr2:uid="{00000000-000D-0000-FFFF-FFFF00000000}"/>
  </bookViews>
  <sheets>
    <sheet name="result" sheetId="10" r:id="rId1"/>
    <sheet name="names" sheetId="4" state="hidden" r:id="rId2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x_range_A">IF(ISREF([0]!graph_a_x_range_A_),[0]!graph_a_x_range_A_,{0})</definedName>
    <definedName name="graph_a_x_range_A_">INDEX(INDIRECT(VLOOKUP("range."&amp;#REF!&amp;"."&amp;#REF!,names!$A:$B,2,0)),0,VLOOKUP("col."&amp;#REF!&amp;".A."&amp;#REF!,names!$A:$B,2,0))</definedName>
    <definedName name="graph_a_x_range_B">IF(ISREF([0]!graph_a_x_range_B_),[0]!graph_a_x_range_B_,{0})</definedName>
    <definedName name="graph_a_x_range_B_">INDEX(INDIRECT(VLOOKUP("range."&amp;#REF!&amp;"."&amp;#REF!,names!$A:$B,2,0)),0,VLOOKUP("col."&amp;#REF!&amp;".B."&amp;#REF!,names!$A:$B,2,0))</definedName>
    <definedName name="graph_a_y_range_A">IF(ISREF([0]!graph_a_y_range_A_),[0]!graph_a_y_range_A_,{0})</definedName>
    <definedName name="graph_a_y_range_A_">INDEX(INDIRECT(VLOOKUP("range."&amp;#REF!&amp;"."&amp;#REF!,names!$A:$B,2,0)),0,VLOOKUP("col."&amp;#REF!&amp;".A."&amp;#REF!,names!$A:$B,2,0))</definedName>
    <definedName name="graph_a_y_range_B">IF(ISREF([0]!graph_a_y_range_B_),[0]!graph_a_y_range_B_,{0})</definedName>
    <definedName name="graph_a_y_range_B_">INDEX(INDIRECT(VLOOKUP("range."&amp;#REF!&amp;"."&amp;#REF!,names!$A:$B,2,0)),0,VLOOKUP("col."&amp;#REF!&amp;".B."&amp;#REF!,names!$A:$B,2,0))</definedName>
    <definedName name="graph_a_y_title">OFFSET([0]!all_cols,MATCH(#REF!,[0]!all_cols,0)-1,1,1,1)</definedName>
    <definedName name="graph_b_A_title">INDIRECT(VLOOKUP("name.A."&amp;#REF!,names!$A:$B,2,0))</definedName>
    <definedName name="graph_b_B_title">INDIRECT(VLOOKUP("name.B."&amp;#REF!,names!$A:$B,2,0))</definedName>
    <definedName name="graph_b_x_range_A">IF(ISREF([0]!graph_b_x_range_A_),[0]!graph_b_x_range_A_,{0})</definedName>
    <definedName name="graph_b_x_range_A_">INDEX(INDIRECT(VLOOKUP("range."&amp;#REF!&amp;"."&amp;#REF!,names!$A:$B,2,0)),0,VLOOKUP("col."&amp;#REF!&amp;".A."&amp;#REF!,names!$A:$B,2,0))</definedName>
    <definedName name="graph_b_x_range_B">IF(ISREF([0]!graph_b_x_range_B_),[0]!graph_b_x_range_B_,{0})</definedName>
    <definedName name="graph_b_x_range_B_">INDEX(INDIRECT(VLOOKUP("range."&amp;#REF!&amp;"."&amp;#REF!,names!$A:$B,2,0)),0,VLOOKUP("col."&amp;#REF!&amp;".B."&amp;#REF!,names!$A:$B,2,0))</definedName>
    <definedName name="graph_b_y_range_A">IF(ISREF([0]!graph_b_y_range_A_),[0]!graph_b_y_range_A_,{0})</definedName>
    <definedName name="graph_b_y_range_A_">INDEX(INDIRECT(VLOOKUP("range."&amp;#REF!&amp;"."&amp;#REF!,names!$A:$B,2,0)),0,VLOOKUP("col."&amp;#REF!&amp;".A."&amp;#REF!,names!$A:$B,2,0))</definedName>
    <definedName name="graph_b_y_range_B">IF(ISREF([0]!graph_b_y_range_B_),[0]!graph_b_y_range_B_,{0})</definedName>
    <definedName name="graph_b_y_range_B_">INDEX(INDIRECT(VLOOKUP("range."&amp;#REF!&amp;"."&amp;#REF!,names!$A:$B,2,0)),0,VLOOKUP("col."&amp;#REF!&amp;".B."&amp;#REF!,names!$A:$B,2,0))</definedName>
    <definedName name="graph_b_y_title">OFFSET([0]!all_cols,MATCH(#REF!,[0]!all_cols,0)-1,1,1,1)</definedName>
    <definedName name="graph_c_A_title">INDIRECT(VLOOKUP("name.A."&amp;#REF!,names!$A:$B,2,0))</definedName>
    <definedName name="graph_c_B_title">INDIRECT(VLOOKUP("name.B."&amp;#REF!,names!$A:$B,2,0))</definedName>
    <definedName name="graph_c_x_range_A">IF(ISREF([0]!graph_c_x_range_A_),[0]!graph_c_x_range_A_,{0})</definedName>
    <definedName name="graph_c_x_range_A_">INDEX(INDIRECT(VLOOKUP("range."&amp;#REF!&amp;"."&amp;#REF!,names!$A:$B,2,0)),0,VLOOKUP("col."&amp;#REF!&amp;".A."&amp;#REF!,names!$A:$B,2,0))</definedName>
    <definedName name="graph_c_x_range_B">IF(ISREF([0]!graph_c_x_range_B_),[0]!graph_c_x_range_B_,{0})</definedName>
    <definedName name="graph_c_x_range_B_">INDEX(INDIRECT(VLOOKUP("range."&amp;#REF!&amp;"."&amp;#REF!,names!$A:$B,2,0)),0,VLOOKUP("col."&amp;#REF!&amp;".B."&amp;#REF!,names!$A:$B,2,0))</definedName>
    <definedName name="graph_c_y_range_A">IF(ISREF([0]!graph_c_y_range_A_),[0]!graph_c_y_range_A_,{0})</definedName>
    <definedName name="graph_c_y_range_A_">INDEX(INDIRECT(VLOOKUP("range."&amp;#REF!&amp;"."&amp;#REF!,names!$A:$B,2,0)),0,VLOOKUP("col."&amp;#REF!&amp;".A."&amp;#REF!,names!$A:$B,2,0))</definedName>
    <definedName name="graph_c_y_range_B">IF(ISREF([0]!graph_c_y_range_B_),[0]!graph_c_y_range_B_,{0})</definedName>
    <definedName name="graph_c_y_range_B_">INDEX(INDIRECT(VLOOKUP("range."&amp;#REF!&amp;"."&amp;#REF!,names!$A:$B,2,0)),0,VLOOKUP("col."&amp;#REF!&amp;".B."&amp;#REF!,names!$A:$B,2,0))</definedName>
    <definedName name="graph_c_y_title">OFFSET([0]!all_cols,MATCH(#REF!,[0]!all_cols,0)-1,1,1,1)</definedName>
    <definedName name="graph_d_A_title">INDIRECT(VLOOKUP("name.A."&amp;#REF!,names!$A:$B,2,0))</definedName>
    <definedName name="graph_d_B_title">INDIRECT(VLOOKUP("name.B."&amp;#REF!,names!$A:$B,2,0))</definedName>
    <definedName name="graph_d_x_range_A">IF(ISREF([0]!graph_d_x_range_A_),[0]!graph_d_x_range_A_,{0})</definedName>
    <definedName name="graph_d_x_range_A_">INDEX(INDIRECT(VLOOKUP("range."&amp;#REF!&amp;"."&amp;#REF!,names!$A:$B,2,0)),0,VLOOKUP("col."&amp;#REF!&amp;".A."&amp;#REF!,names!$A:$B,2,0))</definedName>
    <definedName name="graph_d_x_range_B">IF(ISREF([0]!graph_d_x_range_B_),[0]!graph_d_x_range_B_,{0})</definedName>
    <definedName name="graph_d_x_range_B_">INDEX(INDIRECT(VLOOKUP("range."&amp;#REF!&amp;"."&amp;#REF!,names!$A:$B,2,0)),0,VLOOKUP("col."&amp;#REF!&amp;".B."&amp;#REF!,names!$A:$B,2,0))</definedName>
    <definedName name="graph_d_y_range_A">IF(ISREF([0]!graph_d_y_range_A_),[0]!graph_d_y_range_A_,{0})</definedName>
    <definedName name="graph_d_y_range_A_">INDEX(INDIRECT(VLOOKUP("range."&amp;#REF!&amp;"."&amp;#REF!,names!$A:$B,2,0)),0,VLOOKUP("col."&amp;#REF!&amp;".A."&amp;#REF!,names!$A:$B,2,0))</definedName>
    <definedName name="graph_d_y_range_B">IF(ISREF([0]!graph_d_y_range_B_),[0]!graph_d_y_range_B_,{0})</definedName>
    <definedName name="graph_d_y_range_B_">INDEX(INDIRECT(VLOOKUP("range."&amp;#REF!&amp;"."&amp;#REF!,names!$A:$B,2,0)),0,VLOOKUP("col."&amp;#REF!&amp;".B."&amp;#REF!,names!$A:$B,2,0))</definedName>
    <definedName name="graph_d_y_title">OFFSET([0]!all_cols,MATCH(#REF!,[0]!all_cols,0)-1,1,1,1)</definedName>
    <definedName name="graph_e_A_title">INDIRECT(VLOOKUP("name.A."&amp;#REF!,names!$A:$B,2,0))</definedName>
    <definedName name="graph_e_B_title">INDIRECT(VLOOKUP("name.B."&amp;#REF!,names!$A:$B,2,0))</definedName>
    <definedName name="graph_e_x_range_A">IF(ISREF([0]!graph_e_x_range_A_),[0]!graph_e_x_range_A_,{0})</definedName>
    <definedName name="graph_e_x_range_A_">INDEX(INDIRECT(VLOOKUP("range."&amp;#REF!&amp;"."&amp;#REF!,names!$A:$B,2,0)),0,VLOOKUP("col."&amp;#REF!&amp;".A."&amp;#REF!,names!$A:$B,2,0))</definedName>
    <definedName name="graph_e_x_range_B">IF(ISREF([0]!graph_e_x_range_B_),[0]!graph_e_x_range_B_,{0})</definedName>
    <definedName name="graph_e_x_range_B_">INDEX(INDIRECT(VLOOKUP("range."&amp;#REF!&amp;"."&amp;#REF!,names!$A:$B,2,0)),0,VLOOKUP("col."&amp;#REF!&amp;".B."&amp;#REF!,names!$A:$B,2,0))</definedName>
    <definedName name="graph_e_y_range_A">IF(ISREF([0]!graph_e_y_range_A_),[0]!graph_e_y_range_A_,{0})</definedName>
    <definedName name="graph_e_y_range_A_">INDEX(INDIRECT(VLOOKUP("range."&amp;#REF!&amp;"."&amp;#REF!,names!$A:$B,2,0)),0,VLOOKUP("col."&amp;#REF!&amp;".A."&amp;#REF!,names!$A:$B,2,0))</definedName>
    <definedName name="graph_e_y_range_B">IF(ISREF([0]!graph_e_y_range_B_),[0]!graph_e_y_range_B_,{0})</definedName>
    <definedName name="graph_e_y_range_B_">INDEX(INDIRECT(VLOOKUP("range."&amp;#REF!&amp;"."&amp;#REF!,names!$A:$B,2,0)),0,VLOOKUP("col."&amp;#REF!&amp;".B."&amp;#REF!,names!$A:$B,2,0))</definedName>
    <definedName name="graph_e_y_title">OFFSET([0]!all_cols,MATCH(#REF!,[0]!all_cols,0)-1,1,1,1)</definedName>
    <definedName name="graph_f_A_title">INDIRECT(VLOOKUP("name.A."&amp;#REF!,names!$A:$B,2,0))</definedName>
    <definedName name="graph_f_B_title">INDIRECT(VLOOKUP("name.B."&amp;#REF!,names!$A:$B,2,0))</definedName>
    <definedName name="graph_f_x_range_A">IF(ISREF([0]!graph_f_x_range_A_),[0]!graph_f_x_range_A_,{0})</definedName>
    <definedName name="graph_f_x_range_A_">INDEX(INDIRECT(VLOOKUP("range."&amp;#REF!&amp;"."&amp;#REF!,names!$A:$B,2,0)),0,VLOOKUP("col."&amp;#REF!&amp;".A."&amp;#REF!,names!$A:$B,2,0))</definedName>
    <definedName name="graph_f_x_range_B">IF(ISREF([0]!graph_f_x_range_B_),[0]!graph_f_x_range_B_,{0})</definedName>
    <definedName name="graph_f_x_range_B_">INDEX(INDIRECT(VLOOKUP("range."&amp;#REF!&amp;"."&amp;#REF!,names!$A:$B,2,0)),0,VLOOKUP("col."&amp;#REF!&amp;".B."&amp;#REF!,names!$A:$B,2,0))</definedName>
    <definedName name="graph_f_y_range_A">IF(ISREF([0]!graph_f_y_range_A_),[0]!graph_f_y_range_A_,{0})</definedName>
    <definedName name="graph_f_y_range_A_">INDEX(INDIRECT(VLOOKUP("range."&amp;#REF!&amp;"."&amp;#REF!,names!$A:$B,2,0)),0,VLOOKUP("col."&amp;#REF!&amp;".A."&amp;#REF!,names!$A:$B,2,0))</definedName>
    <definedName name="graph_f_y_range_B">IF(ISREF([0]!graph_f_y_range_B_),[0]!graph_f_y_range_B_,{0})</definedName>
    <definedName name="graph_f_y_range_B_">INDEX(INDIRECT(VLOOKUP("range."&amp;#REF!&amp;"."&amp;#REF!,names!$A:$B,2,0)),0,VLOOKUP("col."&amp;#REF!&amp;".B."&amp;#REF!,names!$A:$B,2,0))</definedName>
    <definedName name="graph_f_y_title">OFFSET([0]!all_cols,MATCH(#REF!,[0]!all_cols,0)-1,1,1,1)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0" i="10" l="1"/>
  <c r="J100" i="10"/>
  <c r="I100" i="10"/>
  <c r="M99" i="10"/>
  <c r="J99" i="10"/>
  <c r="I99" i="10"/>
  <c r="M98" i="10"/>
  <c r="J98" i="10"/>
  <c r="I98" i="10"/>
  <c r="M97" i="10"/>
  <c r="J97" i="10"/>
  <c r="I97" i="10"/>
  <c r="M96" i="10"/>
  <c r="J96" i="10"/>
  <c r="I96" i="10"/>
  <c r="M95" i="10"/>
  <c r="J95" i="10"/>
  <c r="I95" i="10"/>
  <c r="M94" i="10"/>
  <c r="J94" i="10"/>
  <c r="I94" i="10"/>
  <c r="M93" i="10"/>
  <c r="J93" i="10"/>
  <c r="I93" i="10"/>
  <c r="M92" i="10"/>
  <c r="J92" i="10"/>
  <c r="I92" i="10"/>
  <c r="M91" i="10"/>
  <c r="J91" i="10"/>
  <c r="I91" i="10"/>
  <c r="M90" i="10"/>
  <c r="J90" i="10"/>
  <c r="I90" i="10"/>
  <c r="M89" i="10"/>
  <c r="J89" i="10"/>
  <c r="I89" i="10"/>
  <c r="M88" i="10"/>
  <c r="J88" i="10"/>
  <c r="I88" i="10"/>
  <c r="M87" i="10"/>
  <c r="J87" i="10"/>
  <c r="I87" i="10"/>
  <c r="M86" i="10"/>
  <c r="J86" i="10"/>
  <c r="I86" i="10"/>
  <c r="M85" i="10"/>
  <c r="J85" i="10"/>
  <c r="I85" i="10"/>
  <c r="M84" i="10"/>
  <c r="J84" i="10"/>
  <c r="I84" i="10"/>
  <c r="M83" i="10"/>
  <c r="J83" i="10"/>
  <c r="I83" i="10"/>
  <c r="M82" i="10"/>
  <c r="J82" i="10"/>
  <c r="I82" i="10"/>
  <c r="M81" i="10"/>
  <c r="J81" i="10"/>
  <c r="I81" i="10"/>
  <c r="M80" i="10"/>
  <c r="J80" i="10"/>
  <c r="I80" i="10"/>
  <c r="M79" i="10"/>
  <c r="J79" i="10"/>
  <c r="I79" i="10"/>
  <c r="M78" i="10"/>
  <c r="J78" i="10"/>
  <c r="I78" i="10"/>
  <c r="M77" i="10"/>
  <c r="J77" i="10"/>
  <c r="I77" i="10"/>
  <c r="M76" i="10"/>
  <c r="J76" i="10"/>
  <c r="I76" i="10"/>
  <c r="M75" i="10"/>
  <c r="J75" i="10"/>
  <c r="I75" i="10"/>
  <c r="M74" i="10"/>
  <c r="J74" i="10"/>
  <c r="I74" i="10"/>
  <c r="M73" i="10"/>
  <c r="J73" i="10"/>
  <c r="I73" i="10"/>
  <c r="M72" i="10"/>
  <c r="J72" i="10"/>
  <c r="I72" i="10"/>
  <c r="M71" i="10"/>
  <c r="J71" i="10"/>
  <c r="I71" i="10"/>
  <c r="M70" i="10"/>
  <c r="J70" i="10"/>
  <c r="I70" i="10"/>
  <c r="M69" i="10"/>
  <c r="J69" i="10"/>
  <c r="I69" i="10"/>
  <c r="M68" i="10"/>
  <c r="J68" i="10"/>
  <c r="I68" i="10"/>
  <c r="M67" i="10"/>
  <c r="J67" i="10"/>
  <c r="I67" i="10"/>
  <c r="M66" i="10"/>
  <c r="J66" i="10"/>
  <c r="I66" i="10"/>
  <c r="M65" i="10"/>
  <c r="J65" i="10"/>
  <c r="I65" i="10"/>
  <c r="M64" i="10"/>
  <c r="J64" i="10"/>
  <c r="I64" i="10"/>
  <c r="M63" i="10"/>
  <c r="J63" i="10"/>
  <c r="I63" i="10"/>
  <c r="M62" i="10"/>
  <c r="J62" i="10"/>
  <c r="I62" i="10"/>
  <c r="M61" i="10"/>
  <c r="J61" i="10"/>
  <c r="I61" i="10"/>
  <c r="M60" i="10"/>
  <c r="J60" i="10"/>
  <c r="I60" i="10"/>
  <c r="M59" i="10"/>
  <c r="J59" i="10"/>
  <c r="I59" i="10"/>
  <c r="M58" i="10"/>
  <c r="J58" i="10"/>
  <c r="I58" i="10"/>
  <c r="M57" i="10"/>
  <c r="J57" i="10"/>
  <c r="I57" i="10"/>
  <c r="M56" i="10"/>
  <c r="J56" i="10"/>
  <c r="I56" i="10"/>
  <c r="M55" i="10"/>
  <c r="J55" i="10"/>
  <c r="I55" i="10"/>
  <c r="M54" i="10"/>
  <c r="J54" i="10"/>
  <c r="I54" i="10"/>
  <c r="M53" i="10"/>
  <c r="J53" i="10"/>
  <c r="I53" i="10"/>
  <c r="M52" i="10"/>
  <c r="J52" i="10"/>
  <c r="I52" i="10"/>
  <c r="M51" i="10"/>
  <c r="J51" i="10"/>
  <c r="I51" i="10"/>
  <c r="M50" i="10"/>
  <c r="J50" i="10"/>
  <c r="I50" i="10"/>
  <c r="M49" i="10"/>
  <c r="J49" i="10"/>
  <c r="I49" i="10"/>
  <c r="M48" i="10"/>
  <c r="J48" i="10"/>
  <c r="I48" i="10"/>
  <c r="M47" i="10"/>
  <c r="J47" i="10"/>
  <c r="I47" i="10"/>
  <c r="M46" i="10"/>
  <c r="J46" i="10"/>
  <c r="I46" i="10"/>
  <c r="M45" i="10"/>
  <c r="J45" i="10"/>
  <c r="I45" i="10"/>
  <c r="M44" i="10"/>
  <c r="J44" i="10"/>
  <c r="I44" i="10"/>
  <c r="M43" i="10"/>
  <c r="J43" i="10"/>
  <c r="I43" i="10"/>
  <c r="M42" i="10"/>
  <c r="J42" i="10"/>
  <c r="I42" i="10"/>
  <c r="M41" i="10"/>
  <c r="J41" i="10"/>
  <c r="I41" i="10"/>
  <c r="M40" i="10"/>
  <c r="J40" i="10"/>
  <c r="I40" i="10"/>
  <c r="M39" i="10"/>
  <c r="J39" i="10"/>
  <c r="I39" i="10"/>
  <c r="M38" i="10"/>
  <c r="J38" i="10"/>
  <c r="I38" i="10"/>
  <c r="M37" i="10"/>
  <c r="J37" i="10"/>
  <c r="I37" i="10"/>
  <c r="M36" i="10"/>
  <c r="J36" i="10"/>
  <c r="I36" i="10"/>
  <c r="M35" i="10"/>
  <c r="J35" i="10"/>
  <c r="I35" i="10"/>
  <c r="M34" i="10"/>
  <c r="J34" i="10"/>
  <c r="I34" i="10"/>
  <c r="M33" i="10"/>
  <c r="J33" i="10"/>
  <c r="I33" i="10"/>
  <c r="M32" i="10"/>
  <c r="J32" i="10"/>
  <c r="I32" i="10"/>
  <c r="M31" i="10"/>
  <c r="J31" i="10"/>
  <c r="I31" i="10"/>
  <c r="M30" i="10"/>
  <c r="J30" i="10"/>
  <c r="I30" i="10"/>
  <c r="M29" i="10"/>
  <c r="J29" i="10"/>
  <c r="I29" i="10"/>
  <c r="M28" i="10"/>
  <c r="J28" i="10"/>
  <c r="I28" i="10"/>
  <c r="M27" i="10"/>
  <c r="J27" i="10"/>
  <c r="I27" i="10"/>
  <c r="M26" i="10"/>
  <c r="J26" i="10"/>
  <c r="I26" i="10"/>
  <c r="M25" i="10"/>
  <c r="J25" i="10"/>
  <c r="I25" i="10"/>
  <c r="M24" i="10"/>
  <c r="J24" i="10"/>
  <c r="I24" i="10"/>
  <c r="M23" i="10"/>
  <c r="J23" i="10"/>
  <c r="I23" i="10"/>
  <c r="M22" i="10"/>
  <c r="J22" i="10"/>
  <c r="I22" i="10"/>
  <c r="M21" i="10"/>
  <c r="J21" i="10"/>
  <c r="I21" i="10"/>
  <c r="M20" i="10"/>
  <c r="J20" i="10"/>
  <c r="I20" i="10"/>
  <c r="M19" i="10"/>
  <c r="J19" i="10"/>
  <c r="I19" i="10"/>
  <c r="M18" i="10"/>
  <c r="J18" i="10"/>
  <c r="I18" i="10"/>
  <c r="M17" i="10"/>
  <c r="J17" i="10"/>
  <c r="I17" i="10"/>
  <c r="M16" i="10"/>
  <c r="J16" i="10"/>
  <c r="I16" i="10"/>
  <c r="M15" i="10"/>
  <c r="J15" i="10"/>
  <c r="I15" i="10"/>
  <c r="M14" i="10"/>
  <c r="J14" i="10"/>
  <c r="I14" i="10"/>
  <c r="M13" i="10"/>
  <c r="J13" i="10"/>
  <c r="I13" i="10"/>
  <c r="M12" i="10"/>
  <c r="J12" i="10"/>
  <c r="I12" i="10"/>
  <c r="M11" i="10"/>
  <c r="J11" i="10"/>
  <c r="I11" i="10"/>
  <c r="M10" i="10"/>
  <c r="J10" i="10"/>
  <c r="I10" i="10"/>
  <c r="M9" i="10"/>
  <c r="J9" i="10"/>
  <c r="I9" i="10"/>
  <c r="M8" i="10"/>
  <c r="J8" i="10"/>
  <c r="I8" i="10"/>
  <c r="M7" i="10"/>
  <c r="J7" i="10"/>
  <c r="I7" i="10"/>
  <c r="M6" i="10"/>
  <c r="J6" i="10"/>
  <c r="I6" i="10"/>
  <c r="M5" i="10"/>
  <c r="J5" i="10"/>
  <c r="I5" i="10"/>
</calcChain>
</file>

<file path=xl/sharedStrings.xml><?xml version="1.0" encoding="utf-8"?>
<sst xmlns="http://schemas.openxmlformats.org/spreadsheetml/2006/main" count="533" uniqueCount="333">
  <si>
    <t>house_without_roof_00057_vox12</t>
  </si>
  <si>
    <t>dec.cb-psnr</t>
  </si>
  <si>
    <t>dec.cr-psnr</t>
  </si>
  <si>
    <t>exercise_vox10</t>
  </si>
  <si>
    <t>eqn.bpp.geometry</t>
  </si>
  <si>
    <t>dec.d1-psnr</t>
  </si>
  <si>
    <t>model_vox10</t>
  </si>
  <si>
    <t>dec.d2-psnr</t>
  </si>
  <si>
    <t>basketball_player_vox11</t>
  </si>
  <si>
    <t>eqn.bpp</t>
  </si>
  <si>
    <t>dec.y-psnr</t>
  </si>
  <si>
    <t>dancer_vox11</t>
  </si>
  <si>
    <t>thaidancer_viewdep_vox12</t>
  </si>
  <si>
    <t>dec.numpoints</t>
  </si>
  <si>
    <t>№ output points</t>
  </si>
  <si>
    <t>staue_klimt_vox12</t>
  </si>
  <si>
    <t>dec.reflectance-psnr</t>
  </si>
  <si>
    <t>shiva_00035_vox12</t>
  </si>
  <si>
    <t>dec.utime.cpu</t>
  </si>
  <si>
    <t>arco_valentino_dense_vox12</t>
  </si>
  <si>
    <t>dec.utime.gpu</t>
  </si>
  <si>
    <t>facade_00009_vox12</t>
  </si>
  <si>
    <t>enc.bits.colour</t>
  </si>
  <si>
    <t>RWTT_vishnu_156_vox10</t>
  </si>
  <si>
    <t>enc.bits.geometry</t>
  </si>
  <si>
    <t>RWTT_foxstatue_211_vox10</t>
  </si>
  <si>
    <t>enc.bits.reflectance</t>
  </si>
  <si>
    <t>RWTT_tomb_059_vox10</t>
  </si>
  <si>
    <t>enc.ext.bits</t>
  </si>
  <si>
    <t>KITTI_11</t>
  </si>
  <si>
    <t>enc.utime.cpu</t>
  </si>
  <si>
    <t>KITTI_12</t>
  </si>
  <si>
    <t>enc.utime.gpu</t>
  </si>
  <si>
    <t>KITTI_13</t>
  </si>
  <si>
    <t>eqn.bpop</t>
  </si>
  <si>
    <t>KITTI_14</t>
  </si>
  <si>
    <t>KITTI_15</t>
  </si>
  <si>
    <t>eqn.bpp.colour</t>
  </si>
  <si>
    <t>KITTI_16</t>
  </si>
  <si>
    <t>KITTI_17</t>
  </si>
  <si>
    <t>eqn.bpp.reflectance</t>
  </si>
  <si>
    <t>KITTI_18</t>
  </si>
  <si>
    <t>KITTI_19</t>
  </si>
  <si>
    <t>KITTI_20</t>
  </si>
  <si>
    <t>KITTI_21</t>
  </si>
  <si>
    <t>D1</t>
  </si>
  <si>
    <t>D2</t>
  </si>
  <si>
    <t>CPU</t>
  </si>
  <si>
    <t>GPU</t>
  </si>
  <si>
    <t>Luma</t>
  </si>
  <si>
    <t>Chroma Cb</t>
  </si>
  <si>
    <t>Chroma Cr</t>
  </si>
  <si>
    <t>Reflectance</t>
  </si>
  <si>
    <t>T1 — lossy geometry-only [RA]</t>
  </si>
  <si>
    <t>PROPOSAL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</si>
  <si>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</si>
  <si>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</si>
  <si>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</si>
  <si>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</si>
  <si>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</si>
  <si>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</si>
  <si>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</si>
  <si>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Bit rate per second [Mbps] / Bits per input point [bpip]</t>
  </si>
  <si>
    <t>Total Bits per output point [bpop]</t>
  </si>
  <si>
    <t>Bitstream [bits]</t>
  </si>
  <si>
    <t>Geometry PSNR [dB]</t>
  </si>
  <si>
    <t>Attribute PSNR [dB]</t>
  </si>
  <si>
    <t>User Decoder runtime [s]</t>
  </si>
  <si>
    <t>User Encoder runtime [s]</t>
  </si>
  <si>
    <t>Total</t>
  </si>
  <si>
    <t>Geometry</t>
  </si>
  <si>
    <t xml:space="preserve">Colour </t>
  </si>
  <si>
    <t>Colour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</si>
  <si>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</si>
  <si>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</si>
  <si>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</si>
  <si>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</si>
  <si>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</si>
  <si>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</si>
  <si>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</si>
  <si>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B.eqn.bpp</t>
  </si>
  <si>
    <t>B.eqn.bpp.geometry</t>
  </si>
  <si>
    <t>B.eqn.bpp.colour</t>
  </si>
  <si>
    <t>B.eqn.bpp.reflectance</t>
  </si>
  <si>
    <t>B.eqn.bpop</t>
  </si>
  <si>
    <t>B.dec.numpoints</t>
  </si>
  <si>
    <t>B.enc.ext.bits</t>
  </si>
  <si>
    <t>B.enc.bits.geometry</t>
  </si>
  <si>
    <t>B.enc.bits.colour</t>
  </si>
  <si>
    <t>B.enc.bits.reflectance</t>
  </si>
  <si>
    <t>B.dec.d1-psnr</t>
  </si>
  <si>
    <t>B.dec.d2-psnr</t>
  </si>
  <si>
    <t>B.dec.y-psnr</t>
  </si>
  <si>
    <t>B.dec.cb-psnr</t>
  </si>
  <si>
    <t>B.dec.cr-psnr</t>
  </si>
  <si>
    <t>B.dec.reflectance-psnr</t>
  </si>
  <si>
    <t>B.enc.utime</t>
  </si>
  <si>
    <t>B.dec.utime</t>
  </si>
  <si>
    <t>Dense Dynamic</t>
  </si>
  <si>
    <t>r01</t>
  </si>
  <si>
    <t>r02</t>
  </si>
  <si>
    <t>r03</t>
  </si>
  <si>
    <t>r04</t>
  </si>
  <si>
    <t>Dense Static</t>
  </si>
  <si>
    <t>Sparse Dynamic</t>
  </si>
  <si>
    <t>col.T1 lossyG-only.class</t>
  </si>
  <si>
    <t>col.T1 lossyG-only.sequence</t>
  </si>
  <si>
    <t>col.T1 lossyG-only.variant</t>
  </si>
  <si>
    <t>col.T1 lossyG-only.src.numpoints</t>
  </si>
  <si>
    <t>col.T1 lossyG-only.src.geometry-precision</t>
  </si>
  <si>
    <t>col.T1 lossyG-only.src.framecount</t>
  </si>
  <si>
    <t>col.T1 lossyG-only.src.framerate</t>
  </si>
  <si>
    <t>col.T1 lossyG-only.A.eqn.bpp</t>
  </si>
  <si>
    <t>col.T1 lossyG-only.A.eqn.bpp.geometry</t>
  </si>
  <si>
    <t>col.T1 lossyG-only.A.eqn.bpp.colour</t>
  </si>
  <si>
    <t>col.T1 lossyG-only.A.eqn.bpp.reflectance</t>
  </si>
  <si>
    <t>col.T1 lossyG-only.A.eqn.bpop</t>
  </si>
  <si>
    <t>col.T1 lossyG-only.A.dec.numpoints</t>
  </si>
  <si>
    <t>col.T1 lossyG-only.A.enc.ext.bits</t>
  </si>
  <si>
    <t>col.T1 lossyG-only.A.enc.bits.geometry</t>
  </si>
  <si>
    <t>col.T1 lossyG-only.A.enc.bits.colour</t>
  </si>
  <si>
    <t>col.T1 lossyG-only.A.enc.bits.reflectance</t>
  </si>
  <si>
    <t>col.T1 lossyG-only.A.dec.d1-psnr</t>
  </si>
  <si>
    <t>col.T1 lossyG-only.A.dec.d2-psnr</t>
  </si>
  <si>
    <t>col.T1 lossyG-only.A.dec.y-psnr</t>
  </si>
  <si>
    <t>col.T1 lossyG-only.A.dec.cb-psnr</t>
  </si>
  <si>
    <t>col.T1 lossyG-only.A.dec.cr-psnr</t>
  </si>
  <si>
    <t>col.T1 lossyG-only.A.dec.reflectance-psnr</t>
  </si>
  <si>
    <t>col.T1 lossyG-only.A.enc.utime.cpu</t>
  </si>
  <si>
    <t>col.T1 lossyG-only.A.enc.utime.gpu</t>
  </si>
  <si>
    <t>col.T1 lossyG-only.A.dec.utime</t>
  </si>
  <si>
    <t>col.T1 lossyG-only.B.eqn.bpp</t>
  </si>
  <si>
    <t>col.T1 lossyG-only.B.eqn.bpp.geometry</t>
  </si>
  <si>
    <t>col.T1 lossyG-only.B.eqn.bpp.colour</t>
  </si>
  <si>
    <t>col.T1 lossyG-only.B.eqn.bpp.reflectance</t>
  </si>
  <si>
    <t>col.T1 lossyG-only.B.eqn.bpop</t>
  </si>
  <si>
    <t>col.T1 lossyG-only.B.dec.numpoints</t>
  </si>
  <si>
    <t>col.T1 lossyG-only.B.enc.ext.bits</t>
  </si>
  <si>
    <t>col.T1 lossyG-only.B.enc.bits.geometry</t>
  </si>
  <si>
    <t>col.T1 lossyG-only.B.enc.bits.colour</t>
  </si>
  <si>
    <t>col.T1 lossyG-only.B.enc.bits.reflectance</t>
  </si>
  <si>
    <t>col.T1 lossyG-only.B.dec.d1-psnr</t>
  </si>
  <si>
    <t>col.T1 lossyG-only.B.dec.d2-psnr</t>
  </si>
  <si>
    <t>col.T1 lossyG-only.B.dec.y-psnr</t>
  </si>
  <si>
    <t>col.T1 lossyG-only.B.dec.cb-psnr</t>
  </si>
  <si>
    <t>col.T1 lossyG-only.B.dec.cr-psnr</t>
  </si>
  <si>
    <t>col.T1 lossyG-only.B.dec.reflectance-psnr</t>
  </si>
  <si>
    <t>col.T1 lossyG-only.B.enc.utime.cpu</t>
  </si>
  <si>
    <t>col.T1 lossyG-only.B.enc.utime.gpu</t>
  </si>
  <si>
    <t>col.T1 lossyG-only.B.dec.utime.cpu</t>
  </si>
  <si>
    <t>col.T1 lossyG-only.B.dec.utime.gpu</t>
  </si>
  <si>
    <t>col.T1 lossyG-only.eqn.ab.delta-geom_texture_bits_ratio</t>
  </si>
  <si>
    <t>col.T1 lossyG-only.eqn.ab.summary-delta-geom_texture_bits_ratio</t>
  </si>
  <si>
    <t>col.T1 lossyG-only.eqn.ab.bdrate-d1-geomrate</t>
  </si>
  <si>
    <t>col.T1 lossyG-only.eqn.ab.bdrate-d2-geomrate</t>
  </si>
  <si>
    <t>col.T1 lossyG-only.eqn.ab.bdrate-y-attrrate</t>
  </si>
  <si>
    <t>col.T1 lossyG-only.eqn.ab.bdrate-cb-attrrate</t>
  </si>
  <si>
    <t>col.T1 lossyG-only.eqn.ab.bdrate-cr-attrrate</t>
  </si>
  <si>
    <t>col.T1 lossyG-only.eqn.ab.bdrate-reflectance-attrrate</t>
  </si>
  <si>
    <t>col.T1 lossyG-only.eqn.ab.bdrate-d1</t>
  </si>
  <si>
    <t>col.T1 lossyG-only.eqn.ab.bdrate-d2</t>
  </si>
  <si>
    <t>col.T1 lossyG-only.eqn.ab.bdrate-y</t>
  </si>
  <si>
    <t>col.T1 lossyG-only.eqn.ab.bdrate-cb</t>
  </si>
  <si>
    <t>col.T1 lossyG-only.eqn.ab.bdrate-cr</t>
  </si>
  <si>
    <t>col.T1 lossyG-only.eqn.ab.bdrate-reflectance</t>
  </si>
  <si>
    <t>name.A.T1 lossyG-only</t>
  </si>
  <si>
    <t>'T1 lossyG-only'!$I$1</t>
  </si>
  <si>
    <t>name.B.T1 lossyG-only</t>
  </si>
  <si>
    <t>'T1 lossyG-only'!$AD$1</t>
  </si>
  <si>
    <t>range.T1 lossyG-only.exercise_vox10</t>
  </si>
  <si>
    <t>'T1 lossyG-only'!$A$5:$BS$8</t>
  </si>
  <si>
    <t>range.T1 lossyG-only.model_vox10</t>
  </si>
  <si>
    <t>'T1 lossyG-only'!$A$9:$BS$12</t>
  </si>
  <si>
    <t>range.T1 lossyG-only.basketball_player_vox11</t>
  </si>
  <si>
    <t>'T1 lossyG-only'!$A$13:$BS$16</t>
  </si>
  <si>
    <t>range.T1 lossyG-only.dancer_vox11</t>
  </si>
  <si>
    <t>'T1 lossyG-only'!$A$17:$BS$20</t>
  </si>
  <si>
    <t>range.T1 lossyG-only.thaidancer_viewdep_vox12</t>
  </si>
  <si>
    <t>'T1 lossyG-only'!$A$21:$BS$24</t>
  </si>
  <si>
    <t>range.T1 lossyG-only.staue_klimt_vox12</t>
  </si>
  <si>
    <t>'T1 lossyG-only'!$A$25:$BS$28</t>
  </si>
  <si>
    <t>range.T1 lossyG-only.shiva_00035_vox12</t>
  </si>
  <si>
    <t>'T1 lossyG-only'!$A$29:$BS$32</t>
  </si>
  <si>
    <t>range.T1 lossyG-only.arco_valentino_dense_vox12</t>
  </si>
  <si>
    <t>'T1 lossyG-only'!$A$33:$BS$36</t>
  </si>
  <si>
    <t>range.T1 lossyG-only.facade_00009_vox12</t>
  </si>
  <si>
    <t>'T1 lossyG-only'!$A$37:$BS$40</t>
  </si>
  <si>
    <t>range.T1 lossyG-only.house_without_roof_00057_vox12</t>
  </si>
  <si>
    <t>'T1 lossyG-only'!$A$41:$BS$44</t>
  </si>
  <si>
    <t>range.T1 lossyG-only.RWTT_vishnu_156_vox10</t>
  </si>
  <si>
    <t>'T1 lossyG-only'!$A$45:$BS$48</t>
  </si>
  <si>
    <t>range.T1 lossyG-only.RWTT_foxstatue_211_vox10</t>
  </si>
  <si>
    <t>'T1 lossyG-only'!$A$49:$BS$52</t>
  </si>
  <si>
    <t>range.T1 lossyG-only.RWTT_tomb_059_vox10</t>
  </si>
  <si>
    <t>'T1 lossyG-only'!$A$53:$BS$56</t>
  </si>
  <si>
    <t>range.T1 lossyG-only.KITTI_11</t>
  </si>
  <si>
    <t>'T1 lossyG-only'!$A$57:$BS$60</t>
  </si>
  <si>
    <t>range.T1 lossyG-only.KITTI_12</t>
  </si>
  <si>
    <t>'T1 lossyG-only'!$A$61:$BS$64</t>
  </si>
  <si>
    <t>range.T1 lossyG-only.KITTI_13</t>
  </si>
  <si>
    <t>'T1 lossyG-only'!$A$65:$BS$68</t>
  </si>
  <si>
    <t>range.T1 lossyG-only.KITTI_14</t>
  </si>
  <si>
    <t>'T1 lossyG-only'!$A$69:$BS$72</t>
  </si>
  <si>
    <t>range.T1 lossyG-only.KITTI_15</t>
  </si>
  <si>
    <t>'T1 lossyG-only'!$A$73:$BS$76</t>
  </si>
  <si>
    <t>range.T1 lossyG-only.KITTI_16</t>
  </si>
  <si>
    <t>'T1 lossyG-only'!$A$77:$BS$80</t>
  </si>
  <si>
    <t>range.T1 lossyG-only.KITTI_17</t>
  </si>
  <si>
    <t>'T1 lossyG-only'!$A$81:$BS$84</t>
  </si>
  <si>
    <t>range.T1 lossyG-only.KITTI_18</t>
  </si>
  <si>
    <t>'T1 lossyG-only'!$A$85:$BS$88</t>
  </si>
  <si>
    <t>range.T1 lossyG-only.KITTI_19</t>
  </si>
  <si>
    <t>'T1 lossyG-only'!$A$89:$BS$92</t>
  </si>
  <si>
    <t>range.T1 lossyG-only.KITTI_20</t>
  </si>
  <si>
    <t>'T1 lossyG-only'!$A$93:$BS$96</t>
  </si>
  <si>
    <t>range.T1 lossyG-only.KITTI_21</t>
  </si>
  <si>
    <t>'T1 lossyG-only'!$A$97:$BS$100</t>
  </si>
  <si>
    <t>cols.T1 lossyG-only</t>
  </si>
  <si>
    <t>col.T2 lossyG,lossyA.class</t>
  </si>
  <si>
    <t>col.T2 lossyG,lossyA.sequence</t>
  </si>
  <si>
    <t>col.T2 lossyG,lossyA.variant</t>
  </si>
  <si>
    <t>col.T2 lossyG,lossyA.src.numpoints</t>
  </si>
  <si>
    <t>col.T2 lossyG,lossyA.src.geometry-precision</t>
  </si>
  <si>
    <t>col.T2 lossyG,lossyA.src.framecount</t>
  </si>
  <si>
    <t>col.T2 lossyG,lossyA.src.framerate</t>
  </si>
  <si>
    <t>col.T2 lossyG,lossyA.A.eqn.bpp</t>
  </si>
  <si>
    <t>col.T2 lossyG,lossyA.A.eqn.bpp.geometry</t>
  </si>
  <si>
    <t>col.T2 lossyG,lossyA.A.eqn.bpp.colour</t>
  </si>
  <si>
    <t>col.T2 lossyG,lossyA.A.eqn.bpp.reflectance</t>
  </si>
  <si>
    <t>col.T2 lossyG,lossyA.A.eqn.bpop</t>
  </si>
  <si>
    <t>col.T2 lossyG,lossyA.A.dec.numpoints</t>
  </si>
  <si>
    <t>col.T2 lossyG,lossyA.A.enc.ext.bits</t>
  </si>
  <si>
    <t>col.T2 lossyG,lossyA.A.enc.bits.geometry</t>
  </si>
  <si>
    <t>col.T2 lossyG,lossyA.A.enc.bits.colour</t>
  </si>
  <si>
    <t>col.T2 lossyG,lossyA.A.enc.bits.reflectance</t>
  </si>
  <si>
    <t>col.T2 lossyG,lossyA.A.dec.d1-psnr</t>
  </si>
  <si>
    <t>col.T2 lossyG,lossyA.A.dec.d2-psnr</t>
  </si>
  <si>
    <t>col.T2 lossyG,lossyA.A.dec.y-psnr</t>
  </si>
  <si>
    <t>col.T2 lossyG,lossyA.A.dec.cb-psnr</t>
  </si>
  <si>
    <t>col.T2 lossyG,lossyA.A.dec.cr-psnr</t>
  </si>
  <si>
    <t>col.T2 lossyG,lossyA.A.dec.reflectance-psnr</t>
  </si>
  <si>
    <t>col.T2 lossyG,lossyA.A.enc.utime.cpu</t>
  </si>
  <si>
    <t>col.T2 lossyG,lossyA.A.enc.utime.gpu</t>
  </si>
  <si>
    <t>col.T2 lossyG,lossyA.A.dec.utime</t>
  </si>
  <si>
    <t>col.T2 lossyG,lossyA.B.eqn.bpp</t>
  </si>
  <si>
    <t>col.T2 lossyG,lossyA.B.eqn.bpp.geometry</t>
  </si>
  <si>
    <t>col.T2 lossyG,lossyA.B.eqn.bpp.colour</t>
  </si>
  <si>
    <t>col.T2 lossyG,lossyA.B.eqn.bpp.reflectance</t>
  </si>
  <si>
    <t>col.T2 lossyG,lossyA.B.eqn.bpop</t>
  </si>
  <si>
    <t>col.T2 lossyG,lossyA.B.dec.numpoints</t>
  </si>
  <si>
    <t>col.T2 lossyG,lossyA.B.enc.ext.bits</t>
  </si>
  <si>
    <t>col.T2 lossyG,lossyA.B.enc.bits.geometry</t>
  </si>
  <si>
    <t>col.T2 lossyG,lossyA.B.enc.bits.colour</t>
  </si>
  <si>
    <t>col.T2 lossyG,lossyA.B.enc.bits.reflectance</t>
  </si>
  <si>
    <t>col.T2 lossyG,lossyA.B.dec.d1-psnr</t>
  </si>
  <si>
    <t>col.T2 lossyG,lossyA.B.dec.d2-psnr</t>
  </si>
  <si>
    <t>col.T2 lossyG,lossyA.B.dec.y-psnr</t>
  </si>
  <si>
    <t>col.T2 lossyG,lossyA.B.dec.cb-psnr</t>
  </si>
  <si>
    <t>col.T2 lossyG,lossyA.B.dec.cr-psnr</t>
  </si>
  <si>
    <t>col.T2 lossyG,lossyA.B.dec.reflectance-psnr</t>
  </si>
  <si>
    <t>col.T2 lossyG,lossyA.B.enc.utime.cpu</t>
  </si>
  <si>
    <t>col.T2 lossyG,lossyA.B.enc.utime.gpu</t>
  </si>
  <si>
    <t>col.T2 lossyG,lossyA.B.dec.utime.cpu</t>
  </si>
  <si>
    <t>col.T2 lossyG,lossyA.B.dec.utime.gpu</t>
  </si>
  <si>
    <t>col.T2 lossyG,lossyA.eqn.ab.delta-geom_texture_bits_ratio</t>
  </si>
  <si>
    <t>col.T2 lossyG,lossyA.eqn.ab.summary-delta-geom_texture_bits_ratio</t>
  </si>
  <si>
    <t>col.T2 lossyG,lossyA.eqn.ab.bdrate-d1-geomrate</t>
  </si>
  <si>
    <t>col.T2 lossyG,lossyA.eqn.ab.bdrate-d2-geomrate</t>
  </si>
  <si>
    <t>col.T2 lossyG,lossyA.eqn.ab.bdrate-y-attrrate</t>
  </si>
  <si>
    <t>col.T2 lossyG,lossyA.eqn.ab.bdrate-cb-attrrate</t>
  </si>
  <si>
    <t>col.T2 lossyG,lossyA.eqn.ab.bdrate-cr-attrrate</t>
  </si>
  <si>
    <t>col.T2 lossyG,lossyA.eqn.ab.bdrate-reflectance-attrrate</t>
  </si>
  <si>
    <t>col.T2 lossyG,lossyA.eqn.ab.bdrate-d1</t>
  </si>
  <si>
    <t>col.T2 lossyG,lossyA.eqn.ab.bdrate-d2</t>
  </si>
  <si>
    <t>col.T2 lossyG,lossyA.eqn.ab.bdrate-y</t>
  </si>
  <si>
    <t>col.T2 lossyG,lossyA.eqn.ab.bdrate-cb</t>
  </si>
  <si>
    <t>col.T2 lossyG,lossyA.eqn.ab.bdrate-cr</t>
  </si>
  <si>
    <t>col.T2 lossyG,lossyA.eqn.ab.bdrate-reflectance</t>
  </si>
  <si>
    <t>name.A.T2 lossyG,lossyA</t>
  </si>
  <si>
    <t>'T2 lossyG,lossyA'!$I$1</t>
  </si>
  <si>
    <t>name.B.T2 lossyG,lossyA</t>
  </si>
  <si>
    <t>'T2 lossyG,lossyA'!$AD$1</t>
  </si>
  <si>
    <t>range.T2 lossyG,lossyA.exercise_vox10</t>
  </si>
  <si>
    <t>'T2 lossyG,lossyA'!$A$5:$BS$8</t>
  </si>
  <si>
    <t>range.T2 lossyG,lossyA.model_vox10</t>
  </si>
  <si>
    <t>'T2 lossyG,lossyA'!$A$9:$BS$12</t>
  </si>
  <si>
    <t>range.T2 lossyG,lossyA.basketball_player_vox11</t>
  </si>
  <si>
    <t>'T2 lossyG,lossyA'!$A$13:$BS$16</t>
  </si>
  <si>
    <t>range.T2 lossyG,lossyA.dancer_vox11</t>
  </si>
  <si>
    <t>'T2 lossyG,lossyA'!$A$17:$BS$20</t>
  </si>
  <si>
    <t>range.T2 lossyG,lossyA.thaidancer_viewdep_vox12</t>
  </si>
  <si>
    <t>'T2 lossyG,lossyA'!$A$21:$BS$24</t>
  </si>
  <si>
    <t>range.T2 lossyG,lossyA.staue_klimt_vox12</t>
  </si>
  <si>
    <t>'T2 lossyG,lossyA'!$A$25:$BS$28</t>
  </si>
  <si>
    <t>range.T2 lossyG,lossyA.shiva_00035_vox12</t>
  </si>
  <si>
    <t>'T2 lossyG,lossyA'!$A$29:$BS$32</t>
  </si>
  <si>
    <t>range.T2 lossyG,lossyA.arco_valentino_dense_vox12</t>
  </si>
  <si>
    <t>'T2 lossyG,lossyA'!$A$33:$BS$36</t>
  </si>
  <si>
    <t>range.T2 lossyG,lossyA.facade_00009_vox12</t>
  </si>
  <si>
    <t>'T2 lossyG,lossyA'!$A$37:$BS$40</t>
  </si>
  <si>
    <t>range.T2 lossyG,lossyA.house_without_roof_00057_vox12</t>
  </si>
  <si>
    <t>'T2 lossyG,lossyA'!$A$41:$BS$44</t>
  </si>
  <si>
    <t>range.T2 lossyG,lossyA.RWTT_vishnu_156_vox10</t>
  </si>
  <si>
    <t>'T2 lossyG,lossyA'!$A$45:$BS$48</t>
  </si>
  <si>
    <t>range.T2 lossyG,lossyA.RWTT_foxstatue_211_vox10</t>
  </si>
  <si>
    <t>'T2 lossyG,lossyA'!$A$49:$BS$52</t>
  </si>
  <si>
    <t>range.T2 lossyG,lossyA.RWTT_tomb_059_vox10</t>
  </si>
  <si>
    <t>'T2 lossyG,lossyA'!$A$53:$BS$56</t>
  </si>
  <si>
    <t>range.T2 lossyG,lossyA.KITTI_11</t>
  </si>
  <si>
    <t>'T2 lossyG,lossyA'!$A$57:$BS$60</t>
  </si>
  <si>
    <t>range.T2 lossyG,lossyA.KITTI_12</t>
  </si>
  <si>
    <t>'T2 lossyG,lossyA'!$A$61:$BS$64</t>
  </si>
  <si>
    <t>range.T2 lossyG,lossyA.KITTI_13</t>
  </si>
  <si>
    <t>'T2 lossyG,lossyA'!$A$65:$BS$68</t>
  </si>
  <si>
    <t>range.T2 lossyG,lossyA.KITTI_14</t>
  </si>
  <si>
    <t>'T2 lossyG,lossyA'!$A$69:$BS$72</t>
  </si>
  <si>
    <t>range.T2 lossyG,lossyA.KITTI_15</t>
  </si>
  <si>
    <t>'T2 lossyG,lossyA'!$A$73:$BS$76</t>
  </si>
  <si>
    <t>range.T2 lossyG,lossyA.KITTI_16</t>
  </si>
  <si>
    <t>'T2 lossyG,lossyA'!$A$77:$BS$80</t>
  </si>
  <si>
    <t>range.T2 lossyG,lossyA.KITTI_17</t>
  </si>
  <si>
    <t>'T2 lossyG,lossyA'!$A$81:$BS$84</t>
  </si>
  <si>
    <t>range.T2 lossyG,lossyA.KITTI_18</t>
  </si>
  <si>
    <t>'T2 lossyG,lossyA'!$A$85:$BS$88</t>
  </si>
  <si>
    <t>range.T2 lossyG,lossyA.KITTI_19</t>
  </si>
  <si>
    <t>'T2 lossyG,lossyA'!$A$89:$BS$92</t>
  </si>
  <si>
    <t>range.T2 lossyG,lossyA.KITTI_20</t>
  </si>
  <si>
    <t>'T2 lossyG,lossyA'!$A$93:$BS$96</t>
  </si>
  <si>
    <t>range.T2 lossyG,lossyA.KITTI_21</t>
  </si>
  <si>
    <t>'T2 lossyG,lossyA'!$A$97:$BS$100</t>
  </si>
  <si>
    <t>cols.T2 lossyG,lossyA</t>
  </si>
  <si>
    <t>dec.utime</t>
  </si>
  <si>
    <t>enc.utime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</si>
</sst>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indexed="64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indexed="64"/>
      </patternFill>
    </fill>
    <fill>
      <patternFill patternType="lightUp">
        <fgColor rgb="FF404040"/>
        <bgColor rgb="FFDCE6F1"/>
      </patternFill>
    </fill>
    <fill>
      <patternFill patternType="lightUp">
        <fgColor rgb="FF404040"/>
        <bgColor rgb="FFB8CCE4"/>
      </patternFill>
    </fill>
    <fill>
      <patternFill patternType="solid">
        <fgColor rgb="FFC4D796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rgb="FFDCE6F1"/>
        <bgColor auto="1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1" fillId="4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textRotation="90" wrapText="1"/>
    </xf>
    <xf numFmtId="0" fontId="1" fillId="5" borderId="1" xfId="0" applyFont="1" applyFill="1" applyBorder="1" applyAlignment="1">
      <alignment horizontal="center" textRotation="90" wrapText="1"/>
    </xf>
    <xf numFmtId="0" fontId="0" fillId="6" borderId="0" xfId="0" applyFill="1"/>
    <xf numFmtId="0" fontId="0" fillId="6" borderId="2" xfId="0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1" fontId="0" fillId="6" borderId="2" xfId="0" applyNumberForma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7" borderId="3" xfId="0" applyFill="1" applyBorder="1" applyAlignment="1">
      <alignment horizontal="left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" fontId="0" fillId="7" borderId="3" xfId="0" applyNumberFormat="1" applyFill="1" applyBorder="1" applyAlignment="1">
      <alignment horizontal="center"/>
    </xf>
    <xf numFmtId="0" fontId="0" fillId="0" borderId="3" xfId="0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0" fillId="0" borderId="1" xfId="0" applyBorder="1"/>
    <xf numFmtId="2" fontId="0" fillId="9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2" fontId="0" fillId="12" borderId="0" xfId="0" applyNumberFormat="1" applyFill="1" applyAlignment="1" applyProtection="1">
      <alignment horizontal="center"/>
      <protection hidden="1"/>
    </xf>
    <xf numFmtId="2" fontId="0" fillId="13" borderId="0" xfId="0" applyNumberFormat="1" applyFill="1" applyAlignment="1" applyProtection="1">
      <alignment horizontal="center"/>
      <protection hidden="1"/>
    </xf>
    <xf numFmtId="2" fontId="0" fillId="13" borderId="3" xfId="0" applyNumberFormat="1" applyFill="1" applyBorder="1" applyAlignment="1" applyProtection="1">
      <alignment horizontal="center"/>
      <protection hidden="1"/>
    </xf>
    <xf numFmtId="2" fontId="0" fillId="13" borderId="1" xfId="0" applyNumberFormat="1" applyFill="1" applyBorder="1" applyAlignment="1" applyProtection="1">
      <alignment horizontal="center"/>
      <protection hidden="1"/>
    </xf>
    <xf numFmtId="0" fontId="0" fillId="0" borderId="0" xfId="0" quotePrefix="1"/>
    <xf numFmtId="176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6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6" fontId="0" fillId="16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6" fontId="0" fillId="16" borderId="1" xfId="0" applyNumberForma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7" borderId="1" xfId="0" applyFill="1" applyBorder="1" applyAlignment="1">
      <alignment horizontal="center"/>
    </xf>
    <xf numFmtId="1" fontId="0" fillId="17" borderId="1" xfId="0" applyNumberFormat="1" applyFill="1" applyBorder="1" applyAlignment="1">
      <alignment horizontal="center"/>
    </xf>
    <xf numFmtId="0" fontId="0" fillId="18" borderId="0" xfId="0" applyFill="1" applyAlignment="1">
      <alignment horizontal="center"/>
    </xf>
    <xf numFmtId="1" fontId="0" fillId="18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0" fontId="0" fillId="17" borderId="3" xfId="0" applyFill="1" applyBorder="1" applyAlignment="1">
      <alignment horizontal="center"/>
    </xf>
    <xf numFmtId="1" fontId="0" fillId="17" borderId="3" xfId="0" applyNumberFormat="1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2" fillId="12" borderId="0" xfId="0" applyNumberFormat="1" applyFont="1" applyFill="1" applyAlignment="1">
      <alignment horizontal="center"/>
    </xf>
    <xf numFmtId="1" fontId="2" fillId="13" borderId="0" xfId="0" applyNumberFormat="1" applyFont="1" applyFill="1" applyAlignment="1">
      <alignment horizontal="center"/>
    </xf>
    <xf numFmtId="1" fontId="2" fillId="13" borderId="3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2" fillId="12" borderId="0" xfId="0" applyNumberFormat="1" applyFont="1" applyFill="1" applyAlignment="1">
      <alignment horizontal="center"/>
    </xf>
    <xf numFmtId="2" fontId="2" fillId="13" borderId="0" xfId="0" applyNumberFormat="1" applyFont="1" applyFill="1" applyAlignment="1">
      <alignment horizontal="center"/>
    </xf>
    <xf numFmtId="2" fontId="0" fillId="13" borderId="1" xfId="0" applyNumberFormat="1" applyFill="1" applyBorder="1" applyAlignment="1">
      <alignment horizontal="center"/>
    </xf>
    <xf numFmtId="2" fontId="2" fillId="13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top"/>
    </xf>
    <xf numFmtId="0" fontId="1" fillId="1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C265"/>
  <sheetViews>
    <sheetView tabSelected="1" zoomScale="75" zoomScaleNormal="55" workbookViewId="0">
      <pane xSplit="2" ySplit="4" topLeftCell="C5" activePane="bottomRight" state="frozen"/>
      <selection pane="topRight"/>
      <selection pane="bottomLeft"/>
      <selection pane="bottomRight" activeCell="K23" sqref="K23"/>
    </sheetView>
  </sheetViews>
  <sheetFormatPr baseColWidth="10" defaultColWidth="8.83203125" defaultRowHeight="14" outlineLevelRow="2"/>
  <cols>
    <col min="1" max="1" width="12.6640625" customWidth="1"/>
    <col min="2" max="2" width="24.6640625" customWidth="1"/>
    <col min="4" max="5" width="10.6640625" customWidth="1"/>
    <col min="8" max="8" width="1.6640625" customWidth="1"/>
    <col min="9" max="11" width="10.83203125" customWidth="1"/>
    <col min="12" max="12" width="11.6640625" customWidth="1"/>
    <col min="13" max="13" width="10.83203125" customWidth="1"/>
    <col min="14" max="14" width="21.1640625" style="48" customWidth="1"/>
    <col min="15" max="16" width="12.83203125" style="48" customWidth="1"/>
    <col min="17" max="17" width="12.83203125" customWidth="1"/>
    <col min="18" max="24" width="11.6640625" customWidth="1"/>
    <col min="25" max="25" width="10" customWidth="1"/>
    <col min="26" max="26" width="7.5" customWidth="1"/>
    <col min="28" max="28" width="9" customWidth="1"/>
    <col min="29" max="29" width="1.6640625" customWidth="1"/>
  </cols>
  <sheetData>
    <row r="1" spans="1:29" ht="15" customHeight="1">
      <c r="A1" s="71" t="s">
        <v>53</v>
      </c>
      <c r="B1" s="71"/>
      <c r="C1" s="71"/>
      <c r="D1" s="71"/>
      <c r="E1" s="71"/>
      <c r="F1" s="71"/>
      <c r="G1" s="71"/>
      <c r="I1" s="72" t="s">
        <v>54</v>
      </c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</row>
    <row r="2" spans="1:29" ht="30" customHeight="1" thickBot="1">
      <c r="A2" s="75" t="s">
        <v>55</v>
      </c>
      <c r="B2" s="76" t="s">
        <v>56</v>
      </c>
      <c r="C2" s="75" t="s">
        <v>57</v>
      </c>
      <c r="D2" s="76" t="s">
        <v>58</v>
      </c>
      <c r="E2" s="75" t="s">
        <v>59</v>
      </c>
      <c r="F2" s="76" t="s">
        <v>60</v>
      </c>
      <c r="G2" s="75" t="s">
        <v>61</v>
      </c>
      <c r="I2" s="73" t="s">
        <v>62</v>
      </c>
      <c r="J2" s="73"/>
      <c r="K2" s="73"/>
      <c r="L2" s="73"/>
      <c r="M2" s="75" t="s">
        <v>63</v>
      </c>
      <c r="N2" s="76" t="s">
        <v>14</v>
      </c>
      <c r="O2" s="74" t="s">
        <v>64</v>
      </c>
      <c r="P2" s="74"/>
      <c r="Q2" s="74"/>
      <c r="R2" s="74"/>
      <c r="S2" s="73" t="s">
        <v>65</v>
      </c>
      <c r="T2" s="73"/>
      <c r="U2" s="74" t="s">
        <v>66</v>
      </c>
      <c r="V2" s="74"/>
      <c r="W2" s="74"/>
      <c r="X2" s="74"/>
      <c r="Y2" s="73" t="s">
        <v>68</v>
      </c>
      <c r="Z2" s="73"/>
      <c r="AA2" s="74" t="s">
        <v>67</v>
      </c>
      <c r="AB2" s="74"/>
    </row>
    <row r="3" spans="1:29" ht="30" customHeight="1" thickBot="1">
      <c r="A3" s="75"/>
      <c r="B3" s="76"/>
      <c r="C3" s="75"/>
      <c r="D3" s="76"/>
      <c r="E3" s="75"/>
      <c r="F3" s="76"/>
      <c r="G3" s="75"/>
      <c r="I3" s="3" t="s">
        <v>69</v>
      </c>
      <c r="J3" s="3" t="s">
        <v>70</v>
      </c>
      <c r="K3" s="3" t="s">
        <v>71</v>
      </c>
      <c r="L3" s="3" t="s">
        <v>52</v>
      </c>
      <c r="M3" s="75"/>
      <c r="N3" s="76"/>
      <c r="O3" s="2" t="s">
        <v>69</v>
      </c>
      <c r="P3" s="2" t="s">
        <v>70</v>
      </c>
      <c r="Q3" s="2" t="s">
        <v>72</v>
      </c>
      <c r="R3" s="2" t="s">
        <v>52</v>
      </c>
      <c r="S3" s="3" t="s">
        <v>45</v>
      </c>
      <c r="T3" s="3" t="s">
        <v>46</v>
      </c>
      <c r="U3" s="2" t="s">
        <v>49</v>
      </c>
      <c r="V3" s="2" t="s">
        <v>50</v>
      </c>
      <c r="W3" s="2" t="s">
        <v>51</v>
      </c>
      <c r="X3" s="2" t="s">
        <v>52</v>
      </c>
      <c r="Y3" s="3" t="s">
        <v>47</v>
      </c>
      <c r="Z3" s="3" t="s">
        <v>48</v>
      </c>
      <c r="AA3" s="2" t="s">
        <v>47</v>
      </c>
      <c r="AB3" s="2" t="s">
        <v>48</v>
      </c>
    </row>
    <row r="4" spans="1:29" ht="12" hidden="1" customHeight="1" thickBot="1">
      <c r="A4" s="4" t="s">
        <v>73</v>
      </c>
      <c r="B4" s="5" t="s">
        <v>74</v>
      </c>
      <c r="C4" s="4" t="s">
        <v>75</v>
      </c>
      <c r="D4" s="5" t="s">
        <v>76</v>
      </c>
      <c r="E4" s="4" t="s">
        <v>77</v>
      </c>
      <c r="F4" s="5" t="s">
        <v>78</v>
      </c>
      <c r="G4" s="4" t="s">
        <v>79</v>
      </c>
      <c r="I4" s="5" t="s">
        <v>80</v>
      </c>
      <c r="J4" s="5" t="s">
        <v>81</v>
      </c>
      <c r="K4" s="5" t="s">
        <v>82</v>
      </c>
      <c r="L4" s="5" t="s">
        <v>83</v>
      </c>
      <c r="M4" s="4" t="s">
        <v>84</v>
      </c>
      <c r="N4" s="5" t="s">
        <v>85</v>
      </c>
      <c r="O4" s="4" t="s">
        <v>86</v>
      </c>
      <c r="P4" s="4" t="s">
        <v>87</v>
      </c>
      <c r="Q4" s="4" t="s">
        <v>88</v>
      </c>
      <c r="R4" s="4" t="s">
        <v>89</v>
      </c>
      <c r="S4" s="5" t="s">
        <v>90</v>
      </c>
      <c r="T4" s="5" t="s">
        <v>91</v>
      </c>
      <c r="U4" s="4" t="s">
        <v>92</v>
      </c>
      <c r="V4" s="4" t="s">
        <v>93</v>
      </c>
      <c r="W4" s="4" t="s">
        <v>94</v>
      </c>
      <c r="X4" s="4" t="s">
        <v>95</v>
      </c>
      <c r="Y4" s="4"/>
      <c r="Z4" s="4"/>
      <c r="AA4" s="5" t="s">
        <v>96</v>
      </c>
      <c r="AB4" s="4" t="s">
        <v>97</v>
      </c>
    </row>
    <row r="5" spans="1:29">
      <c r="A5" s="6" t="s">
        <v>98</v>
      </c>
      <c r="B5" s="7" t="s">
        <v>3</v>
      </c>
      <c r="C5" s="8" t="s">
        <v>99</v>
      </c>
      <c r="D5" s="9">
        <v>182357227</v>
      </c>
      <c r="E5" s="10">
        <v>10</v>
      </c>
      <c r="F5" s="8">
        <v>300</v>
      </c>
      <c r="G5" s="8">
        <v>30</v>
      </c>
      <c r="I5" s="40">
        <f t="shared" ref="I5:I24" si="0">IF(OR(ISBLANK(O5),ISBLANK(G5)),"·",O5*G5/F5/1000000)</f>
        <v>0.27977359999999996</v>
      </c>
      <c r="J5" s="40">
        <f t="shared" ref="J5:J24" si="1">IF(OR(ISBLANK(P5),ISBLANK(G5)),"·",P5*G5/F5/1000000)</f>
        <v>0.27977359999999996</v>
      </c>
      <c r="K5" s="31"/>
      <c r="L5" s="31"/>
      <c r="M5" s="41">
        <f t="shared" ref="M5:M68" si="2">IF(ISBLANK(O5),"·",O5/N5)</f>
        <v>1.5342062642792875E-2</v>
      </c>
      <c r="N5" s="51">
        <v>182357227</v>
      </c>
      <c r="O5" s="52">
        <v>2797736</v>
      </c>
      <c r="P5" s="52">
        <v>2797736</v>
      </c>
      <c r="Q5" s="53"/>
      <c r="R5" s="53"/>
      <c r="S5" s="27">
        <v>63.261614381270903</v>
      </c>
      <c r="T5" s="27">
        <v>65.362250167224005</v>
      </c>
      <c r="U5" s="35"/>
      <c r="V5" s="35"/>
      <c r="W5" s="35"/>
      <c r="X5" s="35"/>
      <c r="Y5" s="27">
        <v>0</v>
      </c>
      <c r="Z5" s="27">
        <v>0.33185999999999999</v>
      </c>
      <c r="AA5" s="27">
        <v>0</v>
      </c>
      <c r="AB5" s="27">
        <v>0.80754999999999899</v>
      </c>
    </row>
    <row r="6" spans="1:29" outlineLevel="1">
      <c r="A6" s="11"/>
      <c r="B6" s="12" t="s">
        <v>3</v>
      </c>
      <c r="C6" s="13" t="s">
        <v>100</v>
      </c>
      <c r="D6" s="11">
        <v>182357227</v>
      </c>
      <c r="E6" s="14">
        <v>10</v>
      </c>
      <c r="F6" s="13">
        <v>300</v>
      </c>
      <c r="G6" s="13">
        <v>30</v>
      </c>
      <c r="I6" s="42">
        <f t="shared" si="0"/>
        <v>0.2907672</v>
      </c>
      <c r="J6" s="42">
        <f t="shared" si="1"/>
        <v>0.2907672</v>
      </c>
      <c r="K6" s="32"/>
      <c r="L6" s="32"/>
      <c r="M6" s="43">
        <f t="shared" si="2"/>
        <v>1.594492331252657E-2</v>
      </c>
      <c r="N6" s="54">
        <v>182357227</v>
      </c>
      <c r="O6" s="55">
        <v>2907672</v>
      </c>
      <c r="P6" s="55">
        <v>2907672</v>
      </c>
      <c r="Q6" s="56"/>
      <c r="R6" s="56"/>
      <c r="S6" s="28">
        <v>64.813959866220699</v>
      </c>
      <c r="T6" s="28">
        <v>66.264989966555106</v>
      </c>
      <c r="U6" s="36"/>
      <c r="V6" s="36"/>
      <c r="W6" s="36"/>
      <c r="X6" s="36"/>
      <c r="Y6" s="28">
        <v>0</v>
      </c>
      <c r="Z6" s="28">
        <v>0.35906333333333201</v>
      </c>
      <c r="AA6" s="28">
        <v>0</v>
      </c>
      <c r="AB6" s="28">
        <v>0.78317333333333305</v>
      </c>
    </row>
    <row r="7" spans="1:29" outlineLevel="1">
      <c r="A7" s="6"/>
      <c r="B7" s="15" t="s">
        <v>3</v>
      </c>
      <c r="C7" s="16" t="s">
        <v>101</v>
      </c>
      <c r="D7" s="6">
        <v>182357227</v>
      </c>
      <c r="E7" s="17">
        <v>10</v>
      </c>
      <c r="F7" s="16">
        <v>300</v>
      </c>
      <c r="G7" s="16">
        <v>30</v>
      </c>
      <c r="I7" s="40">
        <f t="shared" si="0"/>
        <v>0.84592480000000003</v>
      </c>
      <c r="J7" s="40">
        <f t="shared" si="1"/>
        <v>0.84592480000000003</v>
      </c>
      <c r="K7" s="31"/>
      <c r="L7" s="31"/>
      <c r="M7" s="41">
        <f t="shared" si="2"/>
        <v>4.6388334255598219E-2</v>
      </c>
      <c r="N7" s="51">
        <v>182357227</v>
      </c>
      <c r="O7" s="52">
        <v>8459248</v>
      </c>
      <c r="P7" s="52">
        <v>8459248</v>
      </c>
      <c r="Q7" s="53"/>
      <c r="R7" s="53"/>
      <c r="S7" s="27">
        <v>71.072405351170502</v>
      </c>
      <c r="T7" s="27">
        <v>73.982508695652101</v>
      </c>
      <c r="U7" s="35"/>
      <c r="V7" s="35"/>
      <c r="W7" s="35"/>
      <c r="X7" s="35"/>
      <c r="Y7" s="27">
        <v>0</v>
      </c>
      <c r="Z7" s="27">
        <v>0.50632666666666604</v>
      </c>
      <c r="AA7" s="27">
        <v>0</v>
      </c>
      <c r="AB7" s="27">
        <v>0.82972666666666595</v>
      </c>
    </row>
    <row r="8" spans="1:29" outlineLevel="1">
      <c r="A8" s="11"/>
      <c r="B8" s="18" t="s">
        <v>3</v>
      </c>
      <c r="C8" s="19" t="s">
        <v>102</v>
      </c>
      <c r="D8" s="20">
        <v>182357227</v>
      </c>
      <c r="E8" s="21">
        <v>10</v>
      </c>
      <c r="F8" s="19">
        <v>300</v>
      </c>
      <c r="G8" s="19">
        <v>30</v>
      </c>
      <c r="H8" s="22"/>
      <c r="I8" s="44">
        <f t="shared" si="0"/>
        <v>1.1549240000000001</v>
      </c>
      <c r="J8" s="44">
        <f t="shared" si="1"/>
        <v>1.1549240000000001</v>
      </c>
      <c r="K8" s="34"/>
      <c r="L8" s="34"/>
      <c r="M8" s="45">
        <f t="shared" si="2"/>
        <v>6.3333053424858232E-2</v>
      </c>
      <c r="N8" s="57">
        <v>182357227</v>
      </c>
      <c r="O8" s="58">
        <v>11549240</v>
      </c>
      <c r="P8" s="58">
        <v>11549240</v>
      </c>
      <c r="Q8" s="59"/>
      <c r="R8" s="59"/>
      <c r="S8" s="29">
        <v>71.675113043478206</v>
      </c>
      <c r="T8" s="29">
        <v>75.084396655518304</v>
      </c>
      <c r="U8" s="37"/>
      <c r="V8" s="37"/>
      <c r="W8" s="37"/>
      <c r="X8" s="37"/>
      <c r="Y8" s="29">
        <v>0</v>
      </c>
      <c r="Z8" s="29">
        <v>0.47068666666666598</v>
      </c>
      <c r="AA8" s="29">
        <v>0</v>
      </c>
      <c r="AB8" s="29">
        <v>0.81969666666666596</v>
      </c>
      <c r="AC8" s="22"/>
    </row>
    <row r="9" spans="1:29">
      <c r="A9" s="6"/>
      <c r="B9" s="6" t="s">
        <v>6</v>
      </c>
      <c r="C9" s="16" t="s">
        <v>99</v>
      </c>
      <c r="D9" s="6">
        <v>243035412</v>
      </c>
      <c r="E9" s="17">
        <v>10</v>
      </c>
      <c r="F9" s="16">
        <v>300</v>
      </c>
      <c r="G9" s="16">
        <v>30</v>
      </c>
      <c r="I9" s="40">
        <f t="shared" si="0"/>
        <v>0.66183999999999998</v>
      </c>
      <c r="J9" s="40">
        <f t="shared" si="1"/>
        <v>0.66183999999999998</v>
      </c>
      <c r="K9" s="31"/>
      <c r="L9" s="31"/>
      <c r="M9" s="41">
        <f t="shared" si="2"/>
        <v>2.7232245480341769E-2</v>
      </c>
      <c r="N9" s="51">
        <v>243035412</v>
      </c>
      <c r="O9" s="52">
        <v>6618400</v>
      </c>
      <c r="P9" s="52">
        <v>6618400</v>
      </c>
      <c r="Q9" s="53"/>
      <c r="R9" s="53"/>
      <c r="S9" s="27">
        <v>67.136790635451504</v>
      </c>
      <c r="T9" s="27">
        <v>69.780555852842795</v>
      </c>
      <c r="U9" s="35"/>
      <c r="V9" s="35"/>
      <c r="W9" s="35"/>
      <c r="X9" s="35"/>
      <c r="Y9" s="27">
        <v>0</v>
      </c>
      <c r="Z9" s="27">
        <v>0.38707333333333299</v>
      </c>
      <c r="AA9" s="27">
        <v>0</v>
      </c>
      <c r="AB9" s="27">
        <v>0.91121999999999903</v>
      </c>
    </row>
    <row r="10" spans="1:29" outlineLevel="1">
      <c r="A10" s="11"/>
      <c r="B10" s="12" t="s">
        <v>6</v>
      </c>
      <c r="C10" s="13" t="s">
        <v>100</v>
      </c>
      <c r="D10" s="11">
        <v>243035412</v>
      </c>
      <c r="E10" s="14">
        <v>10</v>
      </c>
      <c r="F10" s="13">
        <v>300</v>
      </c>
      <c r="G10" s="13">
        <v>30</v>
      </c>
      <c r="I10" s="42">
        <f t="shared" si="0"/>
        <v>1.2947944</v>
      </c>
      <c r="J10" s="42">
        <f t="shared" si="1"/>
        <v>1.2947944</v>
      </c>
      <c r="K10" s="32"/>
      <c r="L10" s="32"/>
      <c r="M10" s="43">
        <f t="shared" si="2"/>
        <v>5.3275956344995518E-2</v>
      </c>
      <c r="N10" s="54">
        <v>243035412</v>
      </c>
      <c r="O10" s="55">
        <v>12947944</v>
      </c>
      <c r="P10" s="55">
        <v>12947944</v>
      </c>
      <c r="Q10" s="56"/>
      <c r="R10" s="56"/>
      <c r="S10" s="28">
        <v>70.728331772575203</v>
      </c>
      <c r="T10" s="28">
        <v>73.653729765886197</v>
      </c>
      <c r="U10" s="36"/>
      <c r="V10" s="36"/>
      <c r="W10" s="36"/>
      <c r="X10" s="36"/>
      <c r="Y10" s="28">
        <v>0</v>
      </c>
      <c r="Z10" s="28">
        <v>0.56345000000000001</v>
      </c>
      <c r="AA10" s="28">
        <v>0</v>
      </c>
      <c r="AB10" s="28">
        <v>1.02366333333333</v>
      </c>
    </row>
    <row r="11" spans="1:29" outlineLevel="1">
      <c r="A11" s="6"/>
      <c r="B11" s="15" t="s">
        <v>6</v>
      </c>
      <c r="C11" s="16" t="s">
        <v>101</v>
      </c>
      <c r="D11" s="6">
        <v>243035412</v>
      </c>
      <c r="E11" s="17">
        <v>10</v>
      </c>
      <c r="F11" s="16">
        <v>300</v>
      </c>
      <c r="G11" s="16">
        <v>30</v>
      </c>
      <c r="I11" s="40">
        <f t="shared" si="0"/>
        <v>1.7096376000000002</v>
      </c>
      <c r="J11" s="40">
        <f t="shared" si="1"/>
        <v>1.7096376000000002</v>
      </c>
      <c r="K11" s="31"/>
      <c r="L11" s="31"/>
      <c r="M11" s="41">
        <f t="shared" si="2"/>
        <v>7.0345205496226207E-2</v>
      </c>
      <c r="N11" s="51">
        <v>243035412</v>
      </c>
      <c r="O11" s="52">
        <v>17096376</v>
      </c>
      <c r="P11" s="52">
        <v>17096376</v>
      </c>
      <c r="Q11" s="53"/>
      <c r="R11" s="53"/>
      <c r="S11" s="27">
        <v>71.074773244147096</v>
      </c>
      <c r="T11" s="27">
        <v>74.420645484949802</v>
      </c>
      <c r="U11" s="35"/>
      <c r="V11" s="35"/>
      <c r="W11" s="35"/>
      <c r="X11" s="35"/>
      <c r="Y11" s="27">
        <v>0</v>
      </c>
      <c r="Z11" s="27">
        <v>0.47934333333333301</v>
      </c>
      <c r="AA11" s="27">
        <v>0</v>
      </c>
      <c r="AB11" s="27">
        <v>0.96626000000000001</v>
      </c>
    </row>
    <row r="12" spans="1:29" outlineLevel="1">
      <c r="A12" s="11"/>
      <c r="B12" s="18" t="s">
        <v>6</v>
      </c>
      <c r="C12" s="19" t="s">
        <v>102</v>
      </c>
      <c r="D12" s="20">
        <v>243035412</v>
      </c>
      <c r="E12" s="21">
        <v>10</v>
      </c>
      <c r="F12" s="19">
        <v>300</v>
      </c>
      <c r="G12" s="19">
        <v>30</v>
      </c>
      <c r="H12" s="22"/>
      <c r="I12" s="44">
        <f t="shared" si="0"/>
        <v>2.02902</v>
      </c>
      <c r="J12" s="44">
        <f t="shared" si="1"/>
        <v>2.02902</v>
      </c>
      <c r="K12" s="34"/>
      <c r="L12" s="34"/>
      <c r="M12" s="45">
        <f t="shared" si="2"/>
        <v>8.3486599064008002E-2</v>
      </c>
      <c r="N12" s="57">
        <v>243035412</v>
      </c>
      <c r="O12" s="58">
        <v>20290200</v>
      </c>
      <c r="P12" s="58">
        <v>20290200</v>
      </c>
      <c r="Q12" s="59"/>
      <c r="R12" s="59"/>
      <c r="S12" s="29">
        <v>72.908304682274206</v>
      </c>
      <c r="T12" s="29">
        <v>76.577531103678893</v>
      </c>
      <c r="U12" s="37"/>
      <c r="V12" s="37"/>
      <c r="W12" s="37"/>
      <c r="X12" s="37"/>
      <c r="Y12" s="29">
        <v>0</v>
      </c>
      <c r="Z12" s="29">
        <v>0.6</v>
      </c>
      <c r="AA12" s="29">
        <v>0</v>
      </c>
      <c r="AB12" s="29">
        <v>1.0916366666666599</v>
      </c>
      <c r="AC12" s="22"/>
    </row>
    <row r="13" spans="1:29">
      <c r="A13" s="6"/>
      <c r="B13" s="15" t="s">
        <v>8</v>
      </c>
      <c r="C13" s="16" t="s">
        <v>99</v>
      </c>
      <c r="D13" s="6">
        <v>872412894</v>
      </c>
      <c r="E13" s="17">
        <v>11</v>
      </c>
      <c r="F13" s="16">
        <v>300</v>
      </c>
      <c r="G13" s="16">
        <v>30</v>
      </c>
      <c r="I13" s="40">
        <f t="shared" si="0"/>
        <v>1.6575663999999999</v>
      </c>
      <c r="J13" s="40">
        <f t="shared" si="1"/>
        <v>1.6575663999999999</v>
      </c>
      <c r="K13" s="31"/>
      <c r="L13" s="31"/>
      <c r="M13" s="41">
        <f t="shared" si="2"/>
        <v>1.8999792545477897E-2</v>
      </c>
      <c r="N13" s="51">
        <v>872412894</v>
      </c>
      <c r="O13" s="52">
        <v>16575664</v>
      </c>
      <c r="P13" s="52">
        <v>16575664</v>
      </c>
      <c r="Q13" s="53"/>
      <c r="R13" s="53"/>
      <c r="S13" s="27">
        <v>75.521521070234101</v>
      </c>
      <c r="T13" s="27">
        <v>77.959583277591904</v>
      </c>
      <c r="U13" s="35"/>
      <c r="V13" s="35"/>
      <c r="W13" s="35"/>
      <c r="X13" s="35"/>
      <c r="Y13" s="27">
        <v>0</v>
      </c>
      <c r="Z13" s="27">
        <v>0.63717056856187204</v>
      </c>
      <c r="AA13" s="27">
        <v>0</v>
      </c>
      <c r="AB13" s="27">
        <v>3.1980866666666601</v>
      </c>
    </row>
    <row r="14" spans="1:29" outlineLevel="1">
      <c r="A14" s="11"/>
      <c r="B14" s="11" t="s">
        <v>8</v>
      </c>
      <c r="C14" s="13" t="s">
        <v>100</v>
      </c>
      <c r="D14" s="11">
        <v>872412894</v>
      </c>
      <c r="E14" s="14">
        <v>11</v>
      </c>
      <c r="F14" s="13">
        <v>300</v>
      </c>
      <c r="G14" s="13">
        <v>30</v>
      </c>
      <c r="I14" s="42">
        <f t="shared" si="0"/>
        <v>1.0454104</v>
      </c>
      <c r="J14" s="42">
        <f t="shared" si="1"/>
        <v>1.0454104</v>
      </c>
      <c r="K14" s="32"/>
      <c r="L14" s="32"/>
      <c r="M14" s="43">
        <f t="shared" si="2"/>
        <v>1.1982977408859801E-2</v>
      </c>
      <c r="N14" s="54">
        <v>872412894</v>
      </c>
      <c r="O14" s="55">
        <v>10454104</v>
      </c>
      <c r="P14" s="55">
        <v>10454104</v>
      </c>
      <c r="Q14" s="56"/>
      <c r="R14" s="56"/>
      <c r="S14" s="28">
        <v>72.887285953177198</v>
      </c>
      <c r="T14" s="28">
        <v>74.416986956521697</v>
      </c>
      <c r="U14" s="36"/>
      <c r="V14" s="36"/>
      <c r="W14" s="36"/>
      <c r="X14" s="36"/>
      <c r="Y14" s="28">
        <v>0</v>
      </c>
      <c r="Z14" s="28">
        <v>0.51475250836120401</v>
      </c>
      <c r="AA14" s="28">
        <v>0</v>
      </c>
      <c r="AB14" s="28">
        <v>3.08206333333333</v>
      </c>
    </row>
    <row r="15" spans="1:29" outlineLevel="1">
      <c r="A15" s="6"/>
      <c r="B15" s="6" t="s">
        <v>8</v>
      </c>
      <c r="C15" s="16" t="s">
        <v>101</v>
      </c>
      <c r="D15" s="6">
        <v>872412894</v>
      </c>
      <c r="E15" s="17">
        <v>11</v>
      </c>
      <c r="F15" s="16">
        <v>300</v>
      </c>
      <c r="G15" s="16">
        <v>30</v>
      </c>
      <c r="I15" s="40">
        <f t="shared" si="0"/>
        <v>1.6641128000000001</v>
      </c>
      <c r="J15" s="40">
        <f t="shared" si="1"/>
        <v>1.6641128000000001</v>
      </c>
      <c r="K15" s="31"/>
      <c r="L15" s="31"/>
      <c r="M15" s="41">
        <f t="shared" si="2"/>
        <v>1.9074830409372651E-2</v>
      </c>
      <c r="N15" s="51">
        <v>872412894</v>
      </c>
      <c r="O15" s="52">
        <v>16641128</v>
      </c>
      <c r="P15" s="52">
        <v>16641128</v>
      </c>
      <c r="Q15" s="56"/>
      <c r="R15" s="56"/>
      <c r="S15" s="28">
        <v>75.521521070234101</v>
      </c>
      <c r="T15" s="28">
        <v>77.959583277591904</v>
      </c>
      <c r="U15" s="36"/>
      <c r="V15" s="36"/>
      <c r="W15" s="36"/>
      <c r="X15" s="36"/>
      <c r="Y15" s="28">
        <v>0</v>
      </c>
      <c r="Z15" s="28">
        <v>0.59682274247491596</v>
      </c>
      <c r="AA15" s="28">
        <v>0</v>
      </c>
      <c r="AB15" s="28">
        <v>3.1218033333333302</v>
      </c>
    </row>
    <row r="16" spans="1:29" outlineLevel="1">
      <c r="A16" s="11"/>
      <c r="B16" s="20" t="s">
        <v>8</v>
      </c>
      <c r="C16" s="19" t="s">
        <v>102</v>
      </c>
      <c r="D16" s="20">
        <v>872412894</v>
      </c>
      <c r="E16" s="21">
        <v>11</v>
      </c>
      <c r="F16" s="19">
        <v>300</v>
      </c>
      <c r="G16" s="19">
        <v>30</v>
      </c>
      <c r="H16" s="22"/>
      <c r="I16" s="44">
        <f t="shared" si="0"/>
        <v>3.6610320000000001</v>
      </c>
      <c r="J16" s="44">
        <f t="shared" si="1"/>
        <v>3.6610320000000001</v>
      </c>
      <c r="K16" s="34"/>
      <c r="L16" s="34"/>
      <c r="M16" s="45">
        <f t="shared" si="2"/>
        <v>4.1964441667227355E-2</v>
      </c>
      <c r="N16" s="57">
        <v>872412894</v>
      </c>
      <c r="O16" s="58">
        <v>36610320</v>
      </c>
      <c r="P16" s="58">
        <v>36610320</v>
      </c>
      <c r="Q16" s="59"/>
      <c r="R16" s="59"/>
      <c r="S16" s="29">
        <v>77.958456521739095</v>
      </c>
      <c r="T16" s="29">
        <v>80.725325752508297</v>
      </c>
      <c r="U16" s="37"/>
      <c r="V16" s="37"/>
      <c r="W16" s="37"/>
      <c r="X16" s="37"/>
      <c r="Y16" s="29">
        <v>0</v>
      </c>
      <c r="Z16" s="29">
        <v>1.0482341137123701</v>
      </c>
      <c r="AA16" s="29">
        <v>0</v>
      </c>
      <c r="AB16" s="29">
        <v>3.4484599999999999</v>
      </c>
      <c r="AC16" s="22"/>
    </row>
    <row r="17" spans="1:29">
      <c r="A17" s="6"/>
      <c r="B17" s="6" t="s">
        <v>11</v>
      </c>
      <c r="C17" s="16" t="s">
        <v>99</v>
      </c>
      <c r="D17" s="6">
        <v>780767038</v>
      </c>
      <c r="E17" s="17">
        <v>11</v>
      </c>
      <c r="F17" s="16">
        <v>300</v>
      </c>
      <c r="G17" s="16">
        <v>30</v>
      </c>
      <c r="I17" s="40">
        <f t="shared" si="0"/>
        <v>0.98076240000000003</v>
      </c>
      <c r="J17" s="40">
        <f t="shared" si="1"/>
        <v>0.98076240000000003</v>
      </c>
      <c r="K17" s="31"/>
      <c r="L17" s="31"/>
      <c r="M17" s="41">
        <f t="shared" si="2"/>
        <v>1.2561524145695301E-2</v>
      </c>
      <c r="N17" s="51">
        <v>780767038</v>
      </c>
      <c r="O17" s="52">
        <v>9807624</v>
      </c>
      <c r="P17" s="52">
        <v>9807624</v>
      </c>
      <c r="Q17" s="53"/>
      <c r="R17" s="53"/>
      <c r="S17" s="27">
        <v>70.550967892976502</v>
      </c>
      <c r="T17" s="27">
        <v>72.430062207357807</v>
      </c>
      <c r="U17" s="35"/>
      <c r="V17" s="35"/>
      <c r="W17" s="35"/>
      <c r="X17" s="35"/>
      <c r="Y17" s="27">
        <v>0</v>
      </c>
      <c r="Z17" s="27">
        <v>0.46872333333333299</v>
      </c>
      <c r="AA17" s="27">
        <v>0</v>
      </c>
      <c r="AB17" s="27">
        <v>2.6471399999999998</v>
      </c>
    </row>
    <row r="18" spans="1:29" outlineLevel="1">
      <c r="A18" s="11"/>
      <c r="B18" s="11" t="s">
        <v>11</v>
      </c>
      <c r="C18" s="13" t="s">
        <v>100</v>
      </c>
      <c r="D18" s="11">
        <v>780767038</v>
      </c>
      <c r="E18" s="14">
        <v>11</v>
      </c>
      <c r="F18" s="13">
        <v>300</v>
      </c>
      <c r="G18" s="13">
        <v>30</v>
      </c>
      <c r="I18" s="42">
        <f t="shared" si="0"/>
        <v>1.0013311999999999</v>
      </c>
      <c r="J18" s="42">
        <f t="shared" si="1"/>
        <v>1.0013311999999999</v>
      </c>
      <c r="K18" s="32"/>
      <c r="L18" s="32"/>
      <c r="M18" s="43">
        <f t="shared" si="2"/>
        <v>1.2824967644189918E-2</v>
      </c>
      <c r="N18" s="54">
        <v>780767038</v>
      </c>
      <c r="O18" s="55">
        <v>10013312</v>
      </c>
      <c r="P18" s="55">
        <v>10013312</v>
      </c>
      <c r="Q18" s="56"/>
      <c r="R18" s="56"/>
      <c r="S18" s="28">
        <v>72.691725418060201</v>
      </c>
      <c r="T18" s="28">
        <v>74.167255518394597</v>
      </c>
      <c r="U18" s="36"/>
      <c r="V18" s="36"/>
      <c r="W18" s="36"/>
      <c r="X18" s="36"/>
      <c r="Y18" s="28">
        <v>0</v>
      </c>
      <c r="Z18" s="28">
        <v>0.539705685618729</v>
      </c>
      <c r="AA18" s="28">
        <v>0</v>
      </c>
      <c r="AB18" s="28">
        <v>2.7067066666666602</v>
      </c>
    </row>
    <row r="19" spans="1:29" outlineLevel="1">
      <c r="A19" s="6"/>
      <c r="B19" s="6" t="s">
        <v>11</v>
      </c>
      <c r="C19" s="16" t="s">
        <v>101</v>
      </c>
      <c r="D19" s="6">
        <v>780767038</v>
      </c>
      <c r="E19" s="17">
        <v>11</v>
      </c>
      <c r="F19" s="16">
        <v>300</v>
      </c>
      <c r="G19" s="16">
        <v>30</v>
      </c>
      <c r="I19" s="40">
        <f t="shared" si="0"/>
        <v>3.4097647999999996</v>
      </c>
      <c r="J19" s="40">
        <f t="shared" si="1"/>
        <v>3.4097647999999996</v>
      </c>
      <c r="K19" s="31"/>
      <c r="L19" s="31"/>
      <c r="M19" s="41">
        <f t="shared" si="2"/>
        <v>4.3671987085090035E-2</v>
      </c>
      <c r="N19" s="51">
        <v>780767038</v>
      </c>
      <c r="O19" s="52">
        <v>34097648</v>
      </c>
      <c r="P19" s="52">
        <v>34097648</v>
      </c>
      <c r="Q19" s="56"/>
      <c r="R19" s="56"/>
      <c r="S19" s="28">
        <v>77.987245484949796</v>
      </c>
      <c r="T19" s="28">
        <v>80.686594983277502</v>
      </c>
      <c r="U19" s="35"/>
      <c r="V19" s="35"/>
      <c r="W19" s="35"/>
      <c r="X19" s="35"/>
      <c r="Y19" s="28">
        <v>0</v>
      </c>
      <c r="Z19" s="28">
        <v>0.94499665551839396</v>
      </c>
      <c r="AA19" s="28">
        <v>0</v>
      </c>
      <c r="AB19" s="28">
        <v>3.00653999999999</v>
      </c>
    </row>
    <row r="20" spans="1:29" outlineLevel="1">
      <c r="A20" s="11"/>
      <c r="B20" s="20" t="s">
        <v>11</v>
      </c>
      <c r="C20" s="19" t="s">
        <v>102</v>
      </c>
      <c r="D20" s="20">
        <v>780767038</v>
      </c>
      <c r="E20" s="21">
        <v>11</v>
      </c>
      <c r="F20" s="19">
        <v>300</v>
      </c>
      <c r="G20" s="19">
        <v>30</v>
      </c>
      <c r="H20" s="22"/>
      <c r="I20" s="44">
        <f t="shared" si="0"/>
        <v>4.461252</v>
      </c>
      <c r="J20" s="44">
        <f t="shared" si="1"/>
        <v>4.461252</v>
      </c>
      <c r="K20" s="34"/>
      <c r="L20" s="34"/>
      <c r="M20" s="45">
        <f t="shared" si="2"/>
        <v>5.7139348651652482E-2</v>
      </c>
      <c r="N20" s="57">
        <v>780767038</v>
      </c>
      <c r="O20" s="58">
        <v>44612520</v>
      </c>
      <c r="P20" s="58">
        <v>44612520</v>
      </c>
      <c r="Q20" s="59"/>
      <c r="R20" s="59"/>
      <c r="S20" s="29">
        <v>78.301639799331099</v>
      </c>
      <c r="T20" s="29">
        <v>81.2640254180602</v>
      </c>
      <c r="U20" s="37"/>
      <c r="V20" s="37"/>
      <c r="W20" s="37"/>
      <c r="X20" s="37"/>
      <c r="Y20" s="29">
        <v>0</v>
      </c>
      <c r="Z20" s="29">
        <v>0.70873578595317699</v>
      </c>
      <c r="AA20" s="29">
        <v>0</v>
      </c>
      <c r="AB20" s="29">
        <v>2.79054</v>
      </c>
      <c r="AC20" s="22"/>
    </row>
    <row r="21" spans="1:29">
      <c r="A21" s="6"/>
      <c r="B21" s="15" t="s">
        <v>12</v>
      </c>
      <c r="C21" s="16" t="s">
        <v>99</v>
      </c>
      <c r="D21" s="6">
        <v>923634541</v>
      </c>
      <c r="E21" s="17">
        <v>12</v>
      </c>
      <c r="F21" s="16">
        <v>300</v>
      </c>
      <c r="G21" s="16">
        <v>30</v>
      </c>
      <c r="I21" s="40">
        <f t="shared" si="0"/>
        <v>2.4658496000000003</v>
      </c>
      <c r="J21" s="40">
        <f t="shared" si="1"/>
        <v>2.4658496000000003</v>
      </c>
      <c r="K21" s="31"/>
      <c r="L21" s="31"/>
      <c r="M21" s="41">
        <f t="shared" si="2"/>
        <v>2.6697243233565905E-2</v>
      </c>
      <c r="N21" s="51">
        <v>923634541</v>
      </c>
      <c r="O21" s="52">
        <v>24658496</v>
      </c>
      <c r="P21" s="52">
        <v>24658496</v>
      </c>
      <c r="Q21" s="53"/>
      <c r="R21" s="53"/>
      <c r="S21" s="27">
        <v>75.659700000000001</v>
      </c>
      <c r="T21" s="27">
        <v>79.141099999999994</v>
      </c>
      <c r="U21" s="35"/>
      <c r="V21" s="35"/>
      <c r="W21" s="35"/>
      <c r="X21" s="35"/>
      <c r="Y21" s="27">
        <v>0</v>
      </c>
      <c r="Z21" s="27">
        <v>3.1863466666666702</v>
      </c>
      <c r="AA21" s="27">
        <v>0</v>
      </c>
      <c r="AB21" s="27">
        <v>5.24078</v>
      </c>
    </row>
    <row r="22" spans="1:29" outlineLevel="1">
      <c r="A22" s="11"/>
      <c r="B22" s="11" t="s">
        <v>12</v>
      </c>
      <c r="C22" s="13" t="s">
        <v>100</v>
      </c>
      <c r="D22" s="11">
        <v>923634541</v>
      </c>
      <c r="E22" s="14">
        <v>12</v>
      </c>
      <c r="F22" s="13">
        <v>300</v>
      </c>
      <c r="G22" s="13">
        <v>30</v>
      </c>
      <c r="I22" s="42">
        <f t="shared" si="0"/>
        <v>3.6125456000000002</v>
      </c>
      <c r="J22" s="42">
        <f t="shared" si="1"/>
        <v>3.6125456000000002</v>
      </c>
      <c r="K22" s="32"/>
      <c r="L22" s="32"/>
      <c r="M22" s="43">
        <f t="shared" si="2"/>
        <v>3.9112283480528691E-2</v>
      </c>
      <c r="N22" s="54">
        <v>923634541</v>
      </c>
      <c r="O22" s="55">
        <v>36125456</v>
      </c>
      <c r="P22" s="55">
        <v>36125456</v>
      </c>
      <c r="Q22" s="56"/>
      <c r="R22" s="56"/>
      <c r="S22" s="28">
        <v>78.557501337792701</v>
      </c>
      <c r="T22" s="28">
        <v>82.824883612040097</v>
      </c>
      <c r="U22" s="36"/>
      <c r="V22" s="36"/>
      <c r="W22" s="36"/>
      <c r="X22" s="36"/>
      <c r="Y22" s="28">
        <v>0</v>
      </c>
      <c r="Z22" s="28">
        <v>3.11633</v>
      </c>
      <c r="AA22" s="28">
        <v>0</v>
      </c>
      <c r="AB22" s="28">
        <v>5.2172766666666703</v>
      </c>
    </row>
    <row r="23" spans="1:29" outlineLevel="1">
      <c r="A23" s="6"/>
      <c r="B23" s="6" t="s">
        <v>12</v>
      </c>
      <c r="C23" s="16" t="s">
        <v>101</v>
      </c>
      <c r="D23" s="6">
        <v>923634541</v>
      </c>
      <c r="E23" s="17">
        <v>12</v>
      </c>
      <c r="F23" s="16">
        <v>300</v>
      </c>
      <c r="G23" s="16">
        <v>30</v>
      </c>
      <c r="I23" s="40">
        <f t="shared" si="0"/>
        <v>7.1953895999999995</v>
      </c>
      <c r="J23" s="40">
        <f t="shared" si="1"/>
        <v>7.1953895999999995</v>
      </c>
      <c r="K23" s="31"/>
      <c r="L23" s="31"/>
      <c r="M23" s="41">
        <f t="shared" si="2"/>
        <v>7.7902993885543739E-2</v>
      </c>
      <c r="N23" s="51">
        <v>923634541</v>
      </c>
      <c r="O23" s="52">
        <v>71953896</v>
      </c>
      <c r="P23" s="52">
        <v>71953896</v>
      </c>
      <c r="Q23" s="53"/>
      <c r="R23" s="53"/>
      <c r="S23" s="27">
        <v>81.069428762541804</v>
      </c>
      <c r="T23" s="27">
        <v>85.512560869565206</v>
      </c>
      <c r="U23" s="35"/>
      <c r="V23" s="35"/>
      <c r="W23" s="35"/>
      <c r="X23" s="35"/>
      <c r="Y23" s="27">
        <v>0</v>
      </c>
      <c r="Z23" s="27">
        <v>3.8966433333333299</v>
      </c>
      <c r="AA23" s="27">
        <v>0</v>
      </c>
      <c r="AB23" s="27">
        <v>5.9132499999999997</v>
      </c>
    </row>
    <row r="24" spans="1:29" ht="15" outlineLevel="1" thickBot="1">
      <c r="A24" s="23"/>
      <c r="B24" s="23" t="s">
        <v>12</v>
      </c>
      <c r="C24" s="24" t="s">
        <v>102</v>
      </c>
      <c r="D24" s="23">
        <v>923634541</v>
      </c>
      <c r="E24" s="25">
        <v>12</v>
      </c>
      <c r="F24" s="24">
        <v>300</v>
      </c>
      <c r="G24" s="24">
        <v>30</v>
      </c>
      <c r="H24" s="26"/>
      <c r="I24" s="46">
        <f t="shared" si="0"/>
        <v>9.0162391999999993</v>
      </c>
      <c r="J24" s="46">
        <f t="shared" si="1"/>
        <v>9.0162391999999993</v>
      </c>
      <c r="K24" s="33"/>
      <c r="L24" s="33"/>
      <c r="M24" s="47">
        <f t="shared" si="2"/>
        <v>9.7616955622277887E-2</v>
      </c>
      <c r="N24" s="49">
        <v>923634541</v>
      </c>
      <c r="O24" s="50">
        <v>90162392</v>
      </c>
      <c r="P24" s="50">
        <v>90162392</v>
      </c>
      <c r="Q24" s="60"/>
      <c r="R24" s="60"/>
      <c r="S24" s="30">
        <v>81.779296321070305</v>
      </c>
      <c r="T24" s="30">
        <v>86.276693311036894</v>
      </c>
      <c r="U24" s="38"/>
      <c r="V24" s="38"/>
      <c r="W24" s="38"/>
      <c r="X24" s="38"/>
      <c r="Y24" s="30">
        <v>0</v>
      </c>
      <c r="Z24" s="30">
        <v>4.3730333333333302</v>
      </c>
      <c r="AA24" s="30">
        <v>0</v>
      </c>
      <c r="AB24" s="30">
        <v>6.1997099999999996</v>
      </c>
      <c r="AC24" s="26"/>
    </row>
    <row r="25" spans="1:29">
      <c r="A25" s="6" t="s">
        <v>103</v>
      </c>
      <c r="B25" s="6" t="s">
        <v>15</v>
      </c>
      <c r="C25" s="16" t="s">
        <v>99</v>
      </c>
      <c r="D25" s="6">
        <v>499660</v>
      </c>
      <c r="E25" s="17">
        <v>12</v>
      </c>
      <c r="F25" s="16">
        <v>1</v>
      </c>
      <c r="G25" s="16"/>
      <c r="I25" s="41">
        <f t="shared" ref="I25:I56" si="3">IF(ISBLANK(O25),"·",O25/D25)</f>
        <v>3.0406596485610216</v>
      </c>
      <c r="J25" s="41">
        <f t="shared" ref="J25:J56" si="4">IF(P25="","·",P25/D25)</f>
        <v>3.0406596485610216</v>
      </c>
      <c r="K25" s="31"/>
      <c r="L25" s="31"/>
      <c r="M25" s="41">
        <f t="shared" si="2"/>
        <v>3.0651793658191151</v>
      </c>
      <c r="N25" s="51">
        <v>495663</v>
      </c>
      <c r="O25" s="52">
        <v>1519296</v>
      </c>
      <c r="P25" s="52">
        <v>1519296</v>
      </c>
      <c r="Q25" s="53"/>
      <c r="R25" s="61"/>
      <c r="S25" s="27">
        <v>69.3142</v>
      </c>
      <c r="T25" s="27">
        <v>74.63</v>
      </c>
      <c r="U25" s="35"/>
      <c r="V25" s="35"/>
      <c r="W25" s="35"/>
      <c r="X25" s="35"/>
      <c r="Y25" s="27">
        <v>0</v>
      </c>
      <c r="Z25" s="27">
        <v>3.0229999999999899</v>
      </c>
      <c r="AA25" s="27">
        <v>0</v>
      </c>
      <c r="AB25" s="27">
        <v>3.0619999999999998</v>
      </c>
    </row>
    <row r="26" spans="1:29" outlineLevel="1">
      <c r="A26" s="11"/>
      <c r="B26" s="11" t="s">
        <v>15</v>
      </c>
      <c r="C26" s="13" t="s">
        <v>100</v>
      </c>
      <c r="D26" s="11">
        <v>499660</v>
      </c>
      <c r="E26" s="14">
        <v>12</v>
      </c>
      <c r="F26" s="13">
        <v>1</v>
      </c>
      <c r="G26" s="13"/>
      <c r="I26" s="43">
        <f t="shared" si="3"/>
        <v>3.6301004683184566</v>
      </c>
      <c r="J26" s="43">
        <f t="shared" si="4"/>
        <v>3.6301004683184566</v>
      </c>
      <c r="K26" s="32"/>
      <c r="L26" s="32"/>
      <c r="M26" s="43">
        <f t="shared" si="2"/>
        <v>3.6467262586905034</v>
      </c>
      <c r="N26" s="54">
        <v>497382</v>
      </c>
      <c r="O26" s="55">
        <v>1813816</v>
      </c>
      <c r="P26" s="55">
        <v>1813816</v>
      </c>
      <c r="Q26" s="56"/>
      <c r="R26" s="62"/>
      <c r="S26" s="28">
        <v>70.097300000000004</v>
      </c>
      <c r="T26" s="28">
        <v>75.203900000000004</v>
      </c>
      <c r="U26" s="36"/>
      <c r="V26" s="36"/>
      <c r="W26" s="36"/>
      <c r="X26" s="36"/>
      <c r="Y26" s="28">
        <v>0</v>
      </c>
      <c r="Z26" s="28">
        <v>2.9369999999999998</v>
      </c>
      <c r="AA26" s="28">
        <v>0</v>
      </c>
      <c r="AB26" s="28">
        <v>3.0670000000000002</v>
      </c>
    </row>
    <row r="27" spans="1:29" outlineLevel="1">
      <c r="A27" s="6"/>
      <c r="B27" s="6" t="s">
        <v>15</v>
      </c>
      <c r="C27" s="16" t="s">
        <v>101</v>
      </c>
      <c r="D27" s="6">
        <v>499660</v>
      </c>
      <c r="E27" s="17">
        <v>12</v>
      </c>
      <c r="F27" s="16">
        <v>1</v>
      </c>
      <c r="G27" s="16"/>
      <c r="I27" s="41">
        <f t="shared" si="3"/>
        <v>5.1972781491414164</v>
      </c>
      <c r="J27" s="41">
        <f t="shared" si="4"/>
        <v>5.1972781491414164</v>
      </c>
      <c r="K27" s="31"/>
      <c r="L27" s="31"/>
      <c r="M27" s="41">
        <f t="shared" si="2"/>
        <v>5.2210815831694752</v>
      </c>
      <c r="N27" s="51">
        <v>497382</v>
      </c>
      <c r="O27" s="52">
        <v>2596872</v>
      </c>
      <c r="P27" s="52">
        <v>2596872</v>
      </c>
      <c r="Q27" s="53"/>
      <c r="R27" s="61"/>
      <c r="S27" s="27">
        <v>72.778599999999997</v>
      </c>
      <c r="T27" s="27">
        <v>77.748400000000004</v>
      </c>
      <c r="U27" s="35"/>
      <c r="V27" s="35"/>
      <c r="W27" s="35"/>
      <c r="X27" s="35"/>
      <c r="Y27" s="27">
        <v>0</v>
      </c>
      <c r="Z27" s="27">
        <v>3.7969999999999899</v>
      </c>
      <c r="AA27" s="27">
        <v>0</v>
      </c>
      <c r="AB27" s="27">
        <v>3.827</v>
      </c>
    </row>
    <row r="28" spans="1:29" outlineLevel="1">
      <c r="A28" s="11"/>
      <c r="B28" s="20" t="s">
        <v>15</v>
      </c>
      <c r="C28" s="19" t="s">
        <v>102</v>
      </c>
      <c r="D28" s="20">
        <v>499660</v>
      </c>
      <c r="E28" s="21">
        <v>12</v>
      </c>
      <c r="F28" s="19">
        <v>1</v>
      </c>
      <c r="G28" s="19"/>
      <c r="H28" s="22"/>
      <c r="I28" s="45">
        <f t="shared" si="3"/>
        <v>6.3026698154745224</v>
      </c>
      <c r="J28" s="45">
        <f t="shared" si="4"/>
        <v>6.3026698154745224</v>
      </c>
      <c r="K28" s="34"/>
      <c r="L28" s="34"/>
      <c r="M28" s="45">
        <f t="shared" si="2"/>
        <v>6.3026698154745224</v>
      </c>
      <c r="N28" s="57">
        <v>499660</v>
      </c>
      <c r="O28" s="58">
        <v>3149192</v>
      </c>
      <c r="P28" s="58">
        <v>3149192</v>
      </c>
      <c r="Q28" s="59"/>
      <c r="R28" s="63"/>
      <c r="S28" s="29">
        <v>75.175799999999995</v>
      </c>
      <c r="T28" s="29">
        <v>80.384500000000003</v>
      </c>
      <c r="U28" s="37"/>
      <c r="V28" s="37"/>
      <c r="W28" s="37"/>
      <c r="X28" s="37"/>
      <c r="Y28" s="29">
        <v>0</v>
      </c>
      <c r="Z28" s="29">
        <v>3.62299999999999</v>
      </c>
      <c r="AA28" s="29">
        <v>0</v>
      </c>
      <c r="AB28" s="29">
        <v>3.1669999999999998</v>
      </c>
      <c r="AC28" s="22"/>
    </row>
    <row r="29" spans="1:29">
      <c r="A29" s="6"/>
      <c r="B29" s="6" t="s">
        <v>17</v>
      </c>
      <c r="C29" s="16" t="s">
        <v>99</v>
      </c>
      <c r="D29" s="6">
        <v>1009132</v>
      </c>
      <c r="E29" s="17">
        <v>12</v>
      </c>
      <c r="F29" s="16">
        <v>1</v>
      </c>
      <c r="G29" s="16"/>
      <c r="I29" s="41">
        <f t="shared" si="3"/>
        <v>1.4628016949219727</v>
      </c>
      <c r="J29" s="41">
        <f t="shared" si="4"/>
        <v>1.4628016949219727</v>
      </c>
      <c r="K29" s="31"/>
      <c r="L29" s="31"/>
      <c r="M29" s="41">
        <f t="shared" si="2"/>
        <v>1.6376703225505838</v>
      </c>
      <c r="N29" s="51">
        <v>901378</v>
      </c>
      <c r="O29" s="52">
        <v>1476160</v>
      </c>
      <c r="P29" s="52">
        <v>1476160</v>
      </c>
      <c r="Q29" s="53"/>
      <c r="R29" s="53"/>
      <c r="S29" s="27">
        <v>66.894900000000007</v>
      </c>
      <c r="T29" s="27">
        <v>71.83</v>
      </c>
      <c r="U29" s="35"/>
      <c r="V29" s="35"/>
      <c r="W29" s="35"/>
      <c r="X29" s="35"/>
      <c r="Y29" s="27">
        <v>0</v>
      </c>
      <c r="Z29" s="27">
        <v>4.4289999999999896</v>
      </c>
      <c r="AA29" s="27">
        <v>0</v>
      </c>
      <c r="AB29" s="27">
        <v>4.4059999999999997</v>
      </c>
    </row>
    <row r="30" spans="1:29" outlineLevel="1">
      <c r="A30" s="11"/>
      <c r="B30" s="11" t="s">
        <v>17</v>
      </c>
      <c r="C30" s="13" t="s">
        <v>100</v>
      </c>
      <c r="D30" s="11">
        <v>1009132</v>
      </c>
      <c r="E30" s="14">
        <v>12</v>
      </c>
      <c r="F30" s="13">
        <v>1</v>
      </c>
      <c r="G30" s="13"/>
      <c r="I30" s="43">
        <f t="shared" si="3"/>
        <v>3.2541788388436794</v>
      </c>
      <c r="J30" s="43">
        <f t="shared" si="4"/>
        <v>3.2541788388436794</v>
      </c>
      <c r="K30" s="32"/>
      <c r="L30" s="32"/>
      <c r="M30" s="43">
        <f t="shared" si="2"/>
        <v>3.3026351518516059</v>
      </c>
      <c r="N30" s="54">
        <v>994326</v>
      </c>
      <c r="O30" s="55">
        <v>3283896</v>
      </c>
      <c r="P30" s="55">
        <v>3283896</v>
      </c>
      <c r="Q30" s="56"/>
      <c r="R30" s="56"/>
      <c r="S30" s="28">
        <v>69.727800000000002</v>
      </c>
      <c r="T30" s="28">
        <v>75.029700000000005</v>
      </c>
      <c r="U30" s="36"/>
      <c r="V30" s="36"/>
      <c r="W30" s="36"/>
      <c r="X30" s="36"/>
      <c r="Y30" s="28">
        <v>0</v>
      </c>
      <c r="Z30" s="28">
        <v>5.6669999999999998</v>
      </c>
      <c r="AA30" s="28">
        <v>0</v>
      </c>
      <c r="AB30" s="28">
        <v>5.6040000000000001</v>
      </c>
    </row>
    <row r="31" spans="1:29" outlineLevel="1">
      <c r="A31" s="6"/>
      <c r="B31" s="6" t="s">
        <v>17</v>
      </c>
      <c r="C31" s="16" t="s">
        <v>101</v>
      </c>
      <c r="D31" s="6">
        <v>1009132</v>
      </c>
      <c r="E31" s="17">
        <v>12</v>
      </c>
      <c r="F31" s="16">
        <v>1</v>
      </c>
      <c r="G31" s="16"/>
      <c r="I31" s="41">
        <f t="shared" si="3"/>
        <v>3.7743724309604691</v>
      </c>
      <c r="J31" s="41">
        <f t="shared" si="4"/>
        <v>3.7743724309604691</v>
      </c>
      <c r="K31" s="31"/>
      <c r="L31" s="31"/>
      <c r="M31" s="41">
        <f t="shared" si="2"/>
        <v>3.8054797613707096</v>
      </c>
      <c r="N31" s="51">
        <v>1000883</v>
      </c>
      <c r="O31" s="52">
        <v>3808840</v>
      </c>
      <c r="P31" s="52">
        <v>3808840</v>
      </c>
      <c r="Q31" s="53"/>
      <c r="R31" s="53"/>
      <c r="S31" s="27">
        <v>70.266099999999994</v>
      </c>
      <c r="T31" s="27">
        <v>75.311800000000005</v>
      </c>
      <c r="U31" s="35"/>
      <c r="V31" s="35"/>
      <c r="W31" s="35"/>
      <c r="X31" s="35"/>
      <c r="Y31" s="27">
        <v>0</v>
      </c>
      <c r="Z31" s="27">
        <v>5.4939999999999998</v>
      </c>
      <c r="AA31" s="27">
        <v>0</v>
      </c>
      <c r="AB31" s="27">
        <v>5.7149999999999999</v>
      </c>
    </row>
    <row r="32" spans="1:29" outlineLevel="1">
      <c r="A32" s="11"/>
      <c r="B32" s="20" t="s">
        <v>17</v>
      </c>
      <c r="C32" s="19" t="s">
        <v>102</v>
      </c>
      <c r="D32" s="20">
        <v>1009132</v>
      </c>
      <c r="E32" s="21">
        <v>12</v>
      </c>
      <c r="F32" s="19">
        <v>1</v>
      </c>
      <c r="G32" s="19"/>
      <c r="H32" s="22"/>
      <c r="I32" s="45">
        <f t="shared" si="3"/>
        <v>6.6071752753851829</v>
      </c>
      <c r="J32" s="45">
        <f t="shared" si="4"/>
        <v>6.6071752753851829</v>
      </c>
      <c r="K32" s="34"/>
      <c r="L32" s="34"/>
      <c r="M32" s="45">
        <f t="shared" si="2"/>
        <v>6.6071752753851829</v>
      </c>
      <c r="N32" s="57">
        <v>1009132</v>
      </c>
      <c r="O32" s="58">
        <v>6667512</v>
      </c>
      <c r="P32" s="58">
        <v>6667512</v>
      </c>
      <c r="Q32" s="59"/>
      <c r="R32" s="59"/>
      <c r="S32" s="29">
        <v>76.066199999999995</v>
      </c>
      <c r="T32" s="29">
        <v>80.908500000000004</v>
      </c>
      <c r="U32" s="37"/>
      <c r="V32" s="37"/>
      <c r="W32" s="37"/>
      <c r="X32" s="37"/>
      <c r="Y32" s="29">
        <v>0</v>
      </c>
      <c r="Z32" s="29">
        <v>7.1479999999999997</v>
      </c>
      <c r="AA32" s="29">
        <v>0</v>
      </c>
      <c r="AB32" s="29">
        <v>6.3360000000000003</v>
      </c>
      <c r="AC32" s="22"/>
    </row>
    <row r="33" spans="1:29">
      <c r="A33" s="6"/>
      <c r="B33" s="6" t="s">
        <v>19</v>
      </c>
      <c r="C33" s="16" t="s">
        <v>99</v>
      </c>
      <c r="D33" s="6">
        <v>1481746</v>
      </c>
      <c r="E33" s="17">
        <v>12</v>
      </c>
      <c r="F33" s="16">
        <v>1</v>
      </c>
      <c r="G33" s="16"/>
      <c r="I33" s="41">
        <f t="shared" si="3"/>
        <v>3.9634863195176502</v>
      </c>
      <c r="J33" s="41">
        <f t="shared" si="4"/>
        <v>3.9634863195176502</v>
      </c>
      <c r="K33" s="31"/>
      <c r="L33" s="31"/>
      <c r="M33" s="41">
        <f t="shared" si="2"/>
        <v>4.5192721306883543</v>
      </c>
      <c r="N33" s="51">
        <v>1299519</v>
      </c>
      <c r="O33" s="52">
        <v>5872880</v>
      </c>
      <c r="P33" s="52">
        <v>5872880</v>
      </c>
      <c r="Q33" s="53"/>
      <c r="R33" s="53"/>
      <c r="S33" s="27">
        <v>67.959599999999995</v>
      </c>
      <c r="T33" s="27">
        <v>72.983699999999999</v>
      </c>
      <c r="U33" s="35"/>
      <c r="V33" s="35"/>
      <c r="W33" s="35"/>
      <c r="X33" s="35"/>
      <c r="Y33" s="27">
        <v>0</v>
      </c>
      <c r="Z33" s="27">
        <v>7.907</v>
      </c>
      <c r="AA33" s="27">
        <v>0</v>
      </c>
      <c r="AB33" s="27">
        <v>6.8309999999999897</v>
      </c>
    </row>
    <row r="34" spans="1:29" outlineLevel="1">
      <c r="A34" s="11"/>
      <c r="B34" s="11" t="s">
        <v>19</v>
      </c>
      <c r="C34" s="13" t="s">
        <v>100</v>
      </c>
      <c r="D34" s="11">
        <v>1481746</v>
      </c>
      <c r="E34" s="14">
        <v>12</v>
      </c>
      <c r="F34" s="13">
        <v>1</v>
      </c>
      <c r="G34" s="13"/>
      <c r="I34" s="43">
        <f t="shared" si="3"/>
        <v>4.8773109561287828</v>
      </c>
      <c r="J34" s="43">
        <f t="shared" si="4"/>
        <v>4.8773109561287828</v>
      </c>
      <c r="K34" s="32"/>
      <c r="L34" s="32"/>
      <c r="M34" s="43">
        <f t="shared" si="2"/>
        <v>5.2875634703463614</v>
      </c>
      <c r="N34" s="54">
        <v>1366780</v>
      </c>
      <c r="O34" s="55">
        <v>7226936</v>
      </c>
      <c r="P34" s="55">
        <v>7226936</v>
      </c>
      <c r="Q34" s="56"/>
      <c r="R34" s="56"/>
      <c r="S34" s="28">
        <v>69.8947</v>
      </c>
      <c r="T34" s="28">
        <v>74.802899999999994</v>
      </c>
      <c r="U34" s="36"/>
      <c r="V34" s="36"/>
      <c r="W34" s="36"/>
      <c r="X34" s="36"/>
      <c r="Y34" s="28">
        <v>0</v>
      </c>
      <c r="Z34" s="28">
        <v>7.9269999999999996</v>
      </c>
      <c r="AA34" s="28">
        <v>0</v>
      </c>
      <c r="AB34" s="28">
        <v>6.9550000000000001</v>
      </c>
    </row>
    <row r="35" spans="1:29" outlineLevel="1">
      <c r="A35" s="6"/>
      <c r="B35" s="6" t="s">
        <v>19</v>
      </c>
      <c r="C35" s="16" t="s">
        <v>101</v>
      </c>
      <c r="D35" s="6">
        <v>1481746</v>
      </c>
      <c r="E35" s="17">
        <v>12</v>
      </c>
      <c r="F35" s="16">
        <v>1</v>
      </c>
      <c r="G35" s="16"/>
      <c r="I35" s="41">
        <f t="shared" si="3"/>
        <v>7.9035786160381063</v>
      </c>
      <c r="J35" s="41">
        <f t="shared" si="4"/>
        <v>7.9035786160381063</v>
      </c>
      <c r="K35" s="31"/>
      <c r="L35" s="31"/>
      <c r="M35" s="41">
        <f t="shared" si="2"/>
        <v>8.5683840852222009</v>
      </c>
      <c r="N35" s="51">
        <v>1366780</v>
      </c>
      <c r="O35" s="52">
        <v>11711096</v>
      </c>
      <c r="P35" s="52">
        <v>11711096</v>
      </c>
      <c r="Q35" s="53"/>
      <c r="R35" s="53"/>
      <c r="S35" s="27">
        <v>75.250799999999998</v>
      </c>
      <c r="T35" s="27">
        <v>80.077299999999994</v>
      </c>
      <c r="U35" s="35"/>
      <c r="V35" s="35"/>
      <c r="W35" s="35"/>
      <c r="X35" s="35"/>
      <c r="Y35" s="27">
        <v>0</v>
      </c>
      <c r="Z35" s="27">
        <v>9.5399999999999991</v>
      </c>
      <c r="AA35" s="27">
        <v>0</v>
      </c>
      <c r="AB35" s="27">
        <v>7.641</v>
      </c>
    </row>
    <row r="36" spans="1:29" outlineLevel="1">
      <c r="A36" s="11"/>
      <c r="B36" s="20" t="s">
        <v>19</v>
      </c>
      <c r="C36" s="19" t="s">
        <v>102</v>
      </c>
      <c r="D36" s="20">
        <v>1481746</v>
      </c>
      <c r="E36" s="21">
        <v>12</v>
      </c>
      <c r="F36" s="19">
        <v>1</v>
      </c>
      <c r="G36" s="19"/>
      <c r="H36" s="22"/>
      <c r="I36" s="45">
        <f t="shared" si="3"/>
        <v>9.7027317772411728</v>
      </c>
      <c r="J36" s="45">
        <f t="shared" si="4"/>
        <v>9.7027317772411728</v>
      </c>
      <c r="K36" s="34"/>
      <c r="L36" s="34"/>
      <c r="M36" s="45">
        <f t="shared" si="2"/>
        <v>9.7027317772411728</v>
      </c>
      <c r="N36" s="57">
        <v>1481746</v>
      </c>
      <c r="O36" s="58">
        <v>14376984</v>
      </c>
      <c r="P36" s="58">
        <v>14376984</v>
      </c>
      <c r="Q36" s="59"/>
      <c r="R36" s="59"/>
      <c r="S36" s="29">
        <v>76.768500000000003</v>
      </c>
      <c r="T36" s="29">
        <v>81.683099999999996</v>
      </c>
      <c r="U36" s="37"/>
      <c r="V36" s="37"/>
      <c r="W36" s="37"/>
      <c r="X36" s="37"/>
      <c r="Y36" s="29">
        <v>0</v>
      </c>
      <c r="Z36" s="29">
        <v>10.728999999999999</v>
      </c>
      <c r="AA36" s="29">
        <v>0</v>
      </c>
      <c r="AB36" s="29">
        <v>9.3829999999999991</v>
      </c>
      <c r="AC36" s="22"/>
    </row>
    <row r="37" spans="1:29">
      <c r="A37" s="6"/>
      <c r="B37" s="6" t="s">
        <v>21</v>
      </c>
      <c r="C37" s="16" t="s">
        <v>99</v>
      </c>
      <c r="D37" s="6">
        <v>1596085</v>
      </c>
      <c r="E37" s="17">
        <v>12</v>
      </c>
      <c r="F37" s="16">
        <v>1</v>
      </c>
      <c r="G37" s="16"/>
      <c r="I37" s="41">
        <f t="shared" si="3"/>
        <v>0.91510414545591245</v>
      </c>
      <c r="J37" s="41">
        <f t="shared" si="4"/>
        <v>0.91510414545591245</v>
      </c>
      <c r="K37" s="31"/>
      <c r="L37" s="31"/>
      <c r="M37" s="41">
        <f t="shared" si="2"/>
        <v>0.91510414545591245</v>
      </c>
      <c r="N37" s="51">
        <v>1596085</v>
      </c>
      <c r="O37" s="52">
        <v>1460584</v>
      </c>
      <c r="P37" s="52">
        <v>1460584</v>
      </c>
      <c r="Q37" s="53"/>
      <c r="R37" s="53"/>
      <c r="S37" s="27">
        <v>70.349199999999996</v>
      </c>
      <c r="T37" s="27">
        <v>74.477500000000006</v>
      </c>
      <c r="U37" s="35"/>
      <c r="V37" s="35"/>
      <c r="W37" s="35"/>
      <c r="X37" s="35"/>
      <c r="Y37" s="27">
        <v>0</v>
      </c>
      <c r="Z37" s="27">
        <v>5.2910000000000004</v>
      </c>
      <c r="AA37" s="27">
        <v>0</v>
      </c>
      <c r="AB37" s="27">
        <v>7.5339999999999998</v>
      </c>
    </row>
    <row r="38" spans="1:29" outlineLevel="1">
      <c r="A38" s="11"/>
      <c r="B38" s="11" t="s">
        <v>21</v>
      </c>
      <c r="C38" s="13" t="s">
        <v>100</v>
      </c>
      <c r="D38" s="11">
        <v>1596085</v>
      </c>
      <c r="E38" s="14">
        <v>12</v>
      </c>
      <c r="F38" s="13">
        <v>1</v>
      </c>
      <c r="G38" s="13"/>
      <c r="I38" s="43">
        <f t="shared" si="3"/>
        <v>1.010046457425513</v>
      </c>
      <c r="J38" s="43">
        <f t="shared" si="4"/>
        <v>1.010046457425513</v>
      </c>
      <c r="K38" s="32"/>
      <c r="L38" s="32"/>
      <c r="M38" s="43">
        <f t="shared" si="2"/>
        <v>1.010046457425513</v>
      </c>
      <c r="N38" s="54">
        <v>1596085</v>
      </c>
      <c r="O38" s="55">
        <v>1612120</v>
      </c>
      <c r="P38" s="55">
        <v>1612120</v>
      </c>
      <c r="Q38" s="56"/>
      <c r="R38" s="56"/>
      <c r="S38" s="28">
        <v>70.533000000000001</v>
      </c>
      <c r="T38" s="28">
        <v>74.704099999999997</v>
      </c>
      <c r="U38" s="36"/>
      <c r="V38" s="36"/>
      <c r="W38" s="36"/>
      <c r="X38" s="36"/>
      <c r="Y38" s="28">
        <v>0</v>
      </c>
      <c r="Z38" s="28">
        <v>5.383</v>
      </c>
      <c r="AA38" s="28">
        <v>0</v>
      </c>
      <c r="AB38" s="28">
        <v>8.1039999999999992</v>
      </c>
    </row>
    <row r="39" spans="1:29" outlineLevel="1">
      <c r="A39" s="6"/>
      <c r="B39" s="6" t="s">
        <v>21</v>
      </c>
      <c r="C39" s="16" t="s">
        <v>101</v>
      </c>
      <c r="D39" s="6">
        <v>1596085</v>
      </c>
      <c r="E39" s="17">
        <v>12</v>
      </c>
      <c r="F39" s="16">
        <v>1</v>
      </c>
      <c r="G39" s="16"/>
      <c r="I39" s="41">
        <f t="shared" si="3"/>
        <v>1.8341780043042821</v>
      </c>
      <c r="J39" s="41">
        <f t="shared" si="4"/>
        <v>1.8341780043042821</v>
      </c>
      <c r="K39" s="31"/>
      <c r="L39" s="31"/>
      <c r="M39" s="41">
        <f t="shared" si="2"/>
        <v>1.8341780043042821</v>
      </c>
      <c r="N39" s="51">
        <v>1596085</v>
      </c>
      <c r="O39" s="52">
        <v>2927504</v>
      </c>
      <c r="P39" s="52">
        <v>2927504</v>
      </c>
      <c r="Q39" s="53"/>
      <c r="R39" s="53"/>
      <c r="S39" s="27">
        <v>72.711799999999997</v>
      </c>
      <c r="T39" s="27">
        <v>77.765299999999996</v>
      </c>
      <c r="U39" s="35"/>
      <c r="V39" s="35"/>
      <c r="W39" s="35"/>
      <c r="X39" s="35"/>
      <c r="Y39" s="27">
        <v>0</v>
      </c>
      <c r="Z39" s="27">
        <v>6.1219999999999999</v>
      </c>
      <c r="AA39" s="27">
        <v>0</v>
      </c>
      <c r="AB39" s="27">
        <v>7.5549999999999997</v>
      </c>
    </row>
    <row r="40" spans="1:29" outlineLevel="1">
      <c r="A40" s="11"/>
      <c r="B40" s="20" t="s">
        <v>21</v>
      </c>
      <c r="C40" s="19" t="s">
        <v>102</v>
      </c>
      <c r="D40" s="20">
        <v>1596085</v>
      </c>
      <c r="E40" s="21">
        <v>12</v>
      </c>
      <c r="F40" s="19">
        <v>1</v>
      </c>
      <c r="G40" s="19"/>
      <c r="H40" s="22"/>
      <c r="I40" s="45">
        <f t="shared" si="3"/>
        <v>3.863408277128098</v>
      </c>
      <c r="J40" s="45">
        <f t="shared" si="4"/>
        <v>3.863408277128098</v>
      </c>
      <c r="K40" s="34"/>
      <c r="L40" s="34"/>
      <c r="M40" s="45">
        <f t="shared" si="2"/>
        <v>3.863408277128098</v>
      </c>
      <c r="N40" s="57">
        <v>1596085</v>
      </c>
      <c r="O40" s="58">
        <v>6166328</v>
      </c>
      <c r="P40" s="58">
        <v>6166328</v>
      </c>
      <c r="Q40" s="59"/>
      <c r="R40" s="59"/>
      <c r="S40" s="29">
        <v>77.828400000000002</v>
      </c>
      <c r="T40" s="29">
        <v>82.170599999999993</v>
      </c>
      <c r="U40" s="37"/>
      <c r="V40" s="37"/>
      <c r="W40" s="37"/>
      <c r="X40" s="37"/>
      <c r="Y40" s="29">
        <v>0</v>
      </c>
      <c r="Z40" s="29">
        <v>7.1180000000000003</v>
      </c>
      <c r="AA40" s="29">
        <v>0</v>
      </c>
      <c r="AB40" s="29">
        <v>7.2249999999999996</v>
      </c>
      <c r="AC40" s="22"/>
    </row>
    <row r="41" spans="1:29">
      <c r="A41" s="6"/>
      <c r="B41" s="6" t="s">
        <v>0</v>
      </c>
      <c r="C41" s="16" t="s">
        <v>99</v>
      </c>
      <c r="D41" s="6">
        <v>4848745</v>
      </c>
      <c r="E41" s="17">
        <v>12</v>
      </c>
      <c r="F41" s="16">
        <v>1</v>
      </c>
      <c r="G41" s="16"/>
      <c r="I41" s="41">
        <f t="shared" si="3"/>
        <v>0.44596282130736925</v>
      </c>
      <c r="J41" s="41">
        <f t="shared" si="4"/>
        <v>0.44596282130736925</v>
      </c>
      <c r="K41" s="31"/>
      <c r="L41" s="31"/>
      <c r="M41" s="41">
        <f t="shared" si="2"/>
        <v>0.44596282130736925</v>
      </c>
      <c r="N41" s="51">
        <v>4848745</v>
      </c>
      <c r="O41" s="52">
        <v>2162360</v>
      </c>
      <c r="P41" s="52">
        <v>2162360</v>
      </c>
      <c r="Q41" s="53"/>
      <c r="R41" s="53"/>
      <c r="S41" s="27">
        <v>71.887900000000002</v>
      </c>
      <c r="T41" s="27">
        <v>75.754400000000004</v>
      </c>
      <c r="U41" s="35"/>
      <c r="V41" s="35"/>
      <c r="W41" s="35"/>
      <c r="X41" s="35"/>
      <c r="Y41" s="27">
        <v>0</v>
      </c>
      <c r="Z41" s="27">
        <v>12.891999999999999</v>
      </c>
      <c r="AA41" s="27">
        <v>0</v>
      </c>
      <c r="AB41" s="27">
        <v>17.337</v>
      </c>
    </row>
    <row r="42" spans="1:29" outlineLevel="1">
      <c r="A42" s="11"/>
      <c r="B42" s="11" t="s">
        <v>0</v>
      </c>
      <c r="C42" s="13" t="s">
        <v>100</v>
      </c>
      <c r="D42" s="11">
        <v>4848745</v>
      </c>
      <c r="E42" s="14">
        <v>12</v>
      </c>
      <c r="F42" s="13">
        <v>1</v>
      </c>
      <c r="G42" s="13"/>
      <c r="I42" s="43">
        <f t="shared" si="3"/>
        <v>0.49741366064827086</v>
      </c>
      <c r="J42" s="43">
        <f t="shared" si="4"/>
        <v>0.49741366064827086</v>
      </c>
      <c r="K42" s="32"/>
      <c r="L42" s="32"/>
      <c r="M42" s="43">
        <f t="shared" si="2"/>
        <v>0.49741366064827086</v>
      </c>
      <c r="N42" s="54">
        <v>4848745</v>
      </c>
      <c r="O42" s="55">
        <v>2411832</v>
      </c>
      <c r="P42" s="55">
        <v>2411832</v>
      </c>
      <c r="Q42" s="56"/>
      <c r="R42" s="56"/>
      <c r="S42" s="28">
        <v>72.068799999999996</v>
      </c>
      <c r="T42" s="28">
        <v>76.016999999999996</v>
      </c>
      <c r="U42" s="36"/>
      <c r="V42" s="36"/>
      <c r="W42" s="36"/>
      <c r="X42" s="36"/>
      <c r="Y42" s="28">
        <v>0</v>
      </c>
      <c r="Z42" s="28">
        <v>13.145</v>
      </c>
      <c r="AA42" s="28">
        <v>0</v>
      </c>
      <c r="AB42" s="28">
        <v>19.57</v>
      </c>
    </row>
    <row r="43" spans="1:29" outlineLevel="1">
      <c r="A43" s="6"/>
      <c r="B43" s="6" t="s">
        <v>0</v>
      </c>
      <c r="C43" s="16" t="s">
        <v>101</v>
      </c>
      <c r="D43" s="6">
        <v>4848745</v>
      </c>
      <c r="E43" s="17">
        <v>12</v>
      </c>
      <c r="F43" s="16">
        <v>1</v>
      </c>
      <c r="G43" s="16"/>
      <c r="I43" s="41">
        <f t="shared" si="3"/>
        <v>0.58502890954257236</v>
      </c>
      <c r="J43" s="41">
        <f t="shared" si="4"/>
        <v>0.58502890954257236</v>
      </c>
      <c r="K43" s="31"/>
      <c r="L43" s="31"/>
      <c r="M43" s="41">
        <f t="shared" si="2"/>
        <v>0.58502890954257236</v>
      </c>
      <c r="N43" s="51">
        <v>4848745</v>
      </c>
      <c r="O43" s="52">
        <v>2836656</v>
      </c>
      <c r="P43" s="52">
        <v>2836656</v>
      </c>
      <c r="Q43" s="53"/>
      <c r="R43" s="53"/>
      <c r="S43" s="27">
        <v>72.144900000000007</v>
      </c>
      <c r="T43" s="27">
        <v>76.121399999999994</v>
      </c>
      <c r="U43" s="35"/>
      <c r="V43" s="35"/>
      <c r="W43" s="35"/>
      <c r="X43" s="35"/>
      <c r="Y43" s="27">
        <v>0</v>
      </c>
      <c r="Z43" s="27">
        <v>15.686999999999999</v>
      </c>
      <c r="AA43" s="27">
        <v>0</v>
      </c>
      <c r="AB43" s="27">
        <v>19.736000000000001</v>
      </c>
    </row>
    <row r="44" spans="1:29" outlineLevel="1">
      <c r="A44" s="11"/>
      <c r="B44" s="20" t="s">
        <v>0</v>
      </c>
      <c r="C44" s="19" t="s">
        <v>102</v>
      </c>
      <c r="D44" s="20">
        <v>4848745</v>
      </c>
      <c r="E44" s="21">
        <v>12</v>
      </c>
      <c r="F44" s="19">
        <v>1</v>
      </c>
      <c r="G44" s="19"/>
      <c r="H44" s="22"/>
      <c r="I44" s="45">
        <f t="shared" si="3"/>
        <v>0.98765350621655712</v>
      </c>
      <c r="J44" s="45">
        <f t="shared" si="4"/>
        <v>0.98765350621655712</v>
      </c>
      <c r="K44" s="34"/>
      <c r="L44" s="34"/>
      <c r="M44" s="45">
        <f t="shared" si="2"/>
        <v>0.98765350621655712</v>
      </c>
      <c r="N44" s="57">
        <v>4848745</v>
      </c>
      <c r="O44" s="58">
        <v>4788880</v>
      </c>
      <c r="P44" s="58">
        <v>4788880</v>
      </c>
      <c r="Q44" s="59"/>
      <c r="R44" s="59"/>
      <c r="S44" s="29">
        <v>73.933599999999998</v>
      </c>
      <c r="T44" s="29">
        <v>78.597899999999996</v>
      </c>
      <c r="U44" s="37"/>
      <c r="V44" s="37"/>
      <c r="W44" s="37"/>
      <c r="X44" s="37"/>
      <c r="Y44" s="29">
        <v>0</v>
      </c>
      <c r="Z44" s="29">
        <v>13.388999999999999</v>
      </c>
      <c r="AA44" s="29">
        <v>0</v>
      </c>
      <c r="AB44" s="29">
        <v>17.478999999999999</v>
      </c>
      <c r="AC44" s="22"/>
    </row>
    <row r="45" spans="1:29">
      <c r="A45" s="6"/>
      <c r="B45" s="6" t="s">
        <v>23</v>
      </c>
      <c r="C45" s="16" t="s">
        <v>99</v>
      </c>
      <c r="D45" s="6">
        <v>1155954</v>
      </c>
      <c r="E45" s="17">
        <v>10</v>
      </c>
      <c r="F45" s="16">
        <v>1</v>
      </c>
      <c r="G45" s="16"/>
      <c r="I45" s="41">
        <f t="shared" si="3"/>
        <v>5.9268794432996472E-2</v>
      </c>
      <c r="J45" s="41">
        <f t="shared" si="4"/>
        <v>5.9268794432996472E-2</v>
      </c>
      <c r="K45" s="31"/>
      <c r="L45" s="31"/>
      <c r="M45" s="41">
        <f t="shared" si="2"/>
        <v>5.9268794432996472E-2</v>
      </c>
      <c r="N45" s="51">
        <v>1155954</v>
      </c>
      <c r="O45" s="52">
        <v>68512</v>
      </c>
      <c r="P45" s="52">
        <v>68512</v>
      </c>
      <c r="Q45" s="53"/>
      <c r="R45" s="53"/>
      <c r="S45" s="27">
        <v>69.703999999999994</v>
      </c>
      <c r="T45" s="27">
        <v>72.313999999999993</v>
      </c>
      <c r="U45" s="35"/>
      <c r="V45" s="35"/>
      <c r="W45" s="35"/>
      <c r="X45" s="35"/>
      <c r="Y45" s="27">
        <v>0</v>
      </c>
      <c r="Z45" s="27">
        <v>1.8129999999999999</v>
      </c>
      <c r="AA45" s="27">
        <v>0</v>
      </c>
      <c r="AB45" s="27">
        <v>1.383</v>
      </c>
    </row>
    <row r="46" spans="1:29" outlineLevel="1">
      <c r="A46" s="11"/>
      <c r="B46" s="11" t="s">
        <v>23</v>
      </c>
      <c r="C46" s="13" t="s">
        <v>100</v>
      </c>
      <c r="D46" s="11">
        <v>1155954</v>
      </c>
      <c r="E46" s="14">
        <v>10</v>
      </c>
      <c r="F46" s="13">
        <v>1</v>
      </c>
      <c r="G46" s="13"/>
      <c r="I46" s="43">
        <f t="shared" si="3"/>
        <v>7.5823086385790439E-2</v>
      </c>
      <c r="J46" s="43">
        <f t="shared" si="4"/>
        <v>7.5823086385790439E-2</v>
      </c>
      <c r="K46" s="32"/>
      <c r="L46" s="32"/>
      <c r="M46" s="43">
        <f t="shared" si="2"/>
        <v>7.5823086385790439E-2</v>
      </c>
      <c r="N46" s="54">
        <v>1155954</v>
      </c>
      <c r="O46" s="55">
        <v>87648</v>
      </c>
      <c r="P46" s="55">
        <v>87648</v>
      </c>
      <c r="Q46" s="56"/>
      <c r="R46" s="56"/>
      <c r="S46" s="28">
        <v>70.917000000000002</v>
      </c>
      <c r="T46" s="28">
        <v>74.067999999999998</v>
      </c>
      <c r="U46" s="36"/>
      <c r="V46" s="36"/>
      <c r="W46" s="36"/>
      <c r="X46" s="36"/>
      <c r="Y46" s="28">
        <v>0</v>
      </c>
      <c r="Z46" s="28">
        <v>1.8640000000000001</v>
      </c>
      <c r="AA46" s="28">
        <v>0</v>
      </c>
      <c r="AB46" s="28">
        <v>1.3839999999999999</v>
      </c>
    </row>
    <row r="47" spans="1:29" outlineLevel="1">
      <c r="A47" s="6"/>
      <c r="B47" s="6" t="s">
        <v>23</v>
      </c>
      <c r="C47" s="16" t="s">
        <v>101</v>
      </c>
      <c r="D47" s="6">
        <v>1155954</v>
      </c>
      <c r="E47" s="17">
        <v>10</v>
      </c>
      <c r="F47" s="16">
        <v>1</v>
      </c>
      <c r="G47" s="16"/>
      <c r="I47" s="41">
        <f t="shared" si="3"/>
        <v>9.2294330051195805E-2</v>
      </c>
      <c r="J47" s="41">
        <f t="shared" si="4"/>
        <v>9.2294330051195805E-2</v>
      </c>
      <c r="K47" s="31"/>
      <c r="L47" s="31"/>
      <c r="M47" s="41">
        <f t="shared" si="2"/>
        <v>9.2294330051195805E-2</v>
      </c>
      <c r="N47" s="51">
        <v>1155954</v>
      </c>
      <c r="O47" s="52">
        <v>106688</v>
      </c>
      <c r="P47" s="52">
        <v>106688</v>
      </c>
      <c r="Q47" s="53"/>
      <c r="R47" s="53"/>
      <c r="S47" s="27">
        <v>71.441000000000003</v>
      </c>
      <c r="T47" s="27">
        <v>74.668999999999997</v>
      </c>
      <c r="U47" s="35"/>
      <c r="V47" s="35"/>
      <c r="W47" s="35"/>
      <c r="X47" s="35"/>
      <c r="Y47" s="27">
        <v>0</v>
      </c>
      <c r="Z47" s="27">
        <v>1.829</v>
      </c>
      <c r="AA47" s="27">
        <v>0</v>
      </c>
      <c r="AB47" s="27">
        <v>1.413</v>
      </c>
    </row>
    <row r="48" spans="1:29" outlineLevel="1">
      <c r="A48" s="11"/>
      <c r="B48" s="20" t="s">
        <v>23</v>
      </c>
      <c r="C48" s="19" t="s">
        <v>102</v>
      </c>
      <c r="D48" s="20">
        <v>1155954</v>
      </c>
      <c r="E48" s="21">
        <v>10</v>
      </c>
      <c r="F48" s="19">
        <v>1</v>
      </c>
      <c r="G48" s="19"/>
      <c r="H48" s="22"/>
      <c r="I48" s="45">
        <f t="shared" si="3"/>
        <v>0.1065993975538819</v>
      </c>
      <c r="J48" s="45">
        <f t="shared" si="4"/>
        <v>0.1065993975538819</v>
      </c>
      <c r="K48" s="34"/>
      <c r="L48" s="34"/>
      <c r="M48" s="45">
        <f t="shared" si="2"/>
        <v>0.1065993975538819</v>
      </c>
      <c r="N48" s="57">
        <v>1155954</v>
      </c>
      <c r="O48" s="58">
        <v>123224</v>
      </c>
      <c r="P48" s="58">
        <v>123224</v>
      </c>
      <c r="Q48" s="59"/>
      <c r="R48" s="59"/>
      <c r="S48" s="29">
        <v>71.751000000000005</v>
      </c>
      <c r="T48" s="29">
        <v>75.046999999999997</v>
      </c>
      <c r="U48" s="37"/>
      <c r="V48" s="37"/>
      <c r="W48" s="37"/>
      <c r="X48" s="37"/>
      <c r="Y48" s="29">
        <v>0</v>
      </c>
      <c r="Z48" s="29">
        <v>1.8280000000000001</v>
      </c>
      <c r="AA48" s="29">
        <v>0</v>
      </c>
      <c r="AB48" s="29">
        <v>1.4279999999999999</v>
      </c>
      <c r="AC48" s="22"/>
    </row>
    <row r="49" spans="1:29">
      <c r="A49" s="6"/>
      <c r="B49" s="6" t="s">
        <v>25</v>
      </c>
      <c r="C49" s="16" t="s">
        <v>99</v>
      </c>
      <c r="D49" s="6">
        <v>1348767</v>
      </c>
      <c r="E49" s="17">
        <v>10</v>
      </c>
      <c r="F49" s="16">
        <v>1</v>
      </c>
      <c r="G49" s="16"/>
      <c r="I49" s="41">
        <f t="shared" si="3"/>
        <v>3.6768396617058392E-2</v>
      </c>
      <c r="J49" s="41">
        <f t="shared" si="4"/>
        <v>3.6768396617058392E-2</v>
      </c>
      <c r="K49" s="31"/>
      <c r="L49" s="31"/>
      <c r="M49" s="41">
        <f t="shared" si="2"/>
        <v>3.6768396617058392E-2</v>
      </c>
      <c r="N49" s="51">
        <v>1348767</v>
      </c>
      <c r="O49" s="52">
        <v>49592</v>
      </c>
      <c r="P49" s="52">
        <v>49592</v>
      </c>
      <c r="Q49" s="53"/>
      <c r="R49" s="53"/>
      <c r="S49" s="27">
        <v>65.697999999999993</v>
      </c>
      <c r="T49" s="27">
        <v>67.491</v>
      </c>
      <c r="U49" s="35"/>
      <c r="V49" s="35"/>
      <c r="W49" s="35"/>
      <c r="X49" s="35"/>
      <c r="Y49" s="27">
        <v>0</v>
      </c>
      <c r="Z49" s="27">
        <v>1.8839999999999999</v>
      </c>
      <c r="AA49" s="27">
        <v>0</v>
      </c>
      <c r="AB49" s="27">
        <v>1.38</v>
      </c>
    </row>
    <row r="50" spans="1:29" outlineLevel="1">
      <c r="A50" s="11"/>
      <c r="B50" s="11" t="s">
        <v>25</v>
      </c>
      <c r="C50" s="13" t="s">
        <v>100</v>
      </c>
      <c r="D50" s="11">
        <v>1348767</v>
      </c>
      <c r="E50" s="14">
        <v>10</v>
      </c>
      <c r="F50" s="13">
        <v>1</v>
      </c>
      <c r="G50" s="13"/>
      <c r="I50" s="43">
        <f t="shared" si="3"/>
        <v>4.2260820438222463E-2</v>
      </c>
      <c r="J50" s="43">
        <f t="shared" si="4"/>
        <v>4.2260820438222463E-2</v>
      </c>
      <c r="K50" s="32"/>
      <c r="L50" s="32"/>
      <c r="M50" s="43">
        <f t="shared" si="2"/>
        <v>4.2260820438222463E-2</v>
      </c>
      <c r="N50" s="54">
        <v>1348767</v>
      </c>
      <c r="O50" s="55">
        <v>57000</v>
      </c>
      <c r="P50" s="55">
        <v>57000</v>
      </c>
      <c r="Q50" s="56"/>
      <c r="R50" s="56"/>
      <c r="S50" s="28">
        <v>65.747</v>
      </c>
      <c r="T50" s="28">
        <v>67.566999999999993</v>
      </c>
      <c r="U50" s="36"/>
      <c r="V50" s="36"/>
      <c r="W50" s="36"/>
      <c r="X50" s="36"/>
      <c r="Y50" s="28">
        <v>0</v>
      </c>
      <c r="Z50" s="28">
        <v>1.9610000000000001</v>
      </c>
      <c r="AA50" s="28">
        <v>0</v>
      </c>
      <c r="AB50" s="28">
        <v>1.4079999999999999</v>
      </c>
    </row>
    <row r="51" spans="1:29" outlineLevel="1">
      <c r="A51" s="6"/>
      <c r="B51" s="6" t="s">
        <v>25</v>
      </c>
      <c r="C51" s="16" t="s">
        <v>101</v>
      </c>
      <c r="D51" s="6">
        <v>1348767</v>
      </c>
      <c r="E51" s="17">
        <v>10</v>
      </c>
      <c r="F51" s="16">
        <v>1</v>
      </c>
      <c r="G51" s="16"/>
      <c r="I51" s="41">
        <f t="shared" si="3"/>
        <v>6.7818978370615526E-2</v>
      </c>
      <c r="J51" s="41">
        <f t="shared" si="4"/>
        <v>6.7818978370615526E-2</v>
      </c>
      <c r="K51" s="31"/>
      <c r="L51" s="31"/>
      <c r="M51" s="41">
        <f t="shared" si="2"/>
        <v>6.7818978370615526E-2</v>
      </c>
      <c r="N51" s="51">
        <v>1348767</v>
      </c>
      <c r="O51" s="52">
        <v>91472</v>
      </c>
      <c r="P51" s="52">
        <v>91472</v>
      </c>
      <c r="Q51" s="53"/>
      <c r="R51" s="53"/>
      <c r="S51" s="27">
        <v>68.784000000000006</v>
      </c>
      <c r="T51" s="27">
        <v>71.456999999999994</v>
      </c>
      <c r="U51" s="35"/>
      <c r="V51" s="35"/>
      <c r="W51" s="35"/>
      <c r="X51" s="35"/>
      <c r="Y51" s="27">
        <v>0</v>
      </c>
      <c r="Z51" s="27">
        <v>2.0019999999999998</v>
      </c>
      <c r="AA51" s="27">
        <v>0</v>
      </c>
      <c r="AB51" s="27">
        <v>1.4830000000000001</v>
      </c>
    </row>
    <row r="52" spans="1:29" outlineLevel="1">
      <c r="A52" s="11"/>
      <c r="B52" s="20" t="s">
        <v>25</v>
      </c>
      <c r="C52" s="19" t="s">
        <v>102</v>
      </c>
      <c r="D52" s="20">
        <v>1348767</v>
      </c>
      <c r="E52" s="21">
        <v>10</v>
      </c>
      <c r="F52" s="19">
        <v>1</v>
      </c>
      <c r="G52" s="19"/>
      <c r="H52" s="22"/>
      <c r="I52" s="45">
        <f t="shared" si="3"/>
        <v>8.7107706520103176E-2</v>
      </c>
      <c r="J52" s="45">
        <f t="shared" si="4"/>
        <v>8.7107706520103176E-2</v>
      </c>
      <c r="K52" s="34"/>
      <c r="L52" s="34"/>
      <c r="M52" s="45">
        <f t="shared" si="2"/>
        <v>8.7107706520103176E-2</v>
      </c>
      <c r="N52" s="57">
        <v>1348767</v>
      </c>
      <c r="O52" s="58">
        <v>117488</v>
      </c>
      <c r="P52" s="58">
        <v>117488</v>
      </c>
      <c r="Q52" s="59"/>
      <c r="R52" s="59"/>
      <c r="S52" s="29">
        <v>69.882999999999996</v>
      </c>
      <c r="T52" s="29">
        <v>72.986000000000004</v>
      </c>
      <c r="U52" s="37"/>
      <c r="V52" s="37"/>
      <c r="W52" s="37"/>
      <c r="X52" s="37"/>
      <c r="Y52" s="29">
        <v>0</v>
      </c>
      <c r="Z52" s="29">
        <v>2.0409999999999999</v>
      </c>
      <c r="AA52" s="29">
        <v>0</v>
      </c>
      <c r="AB52" s="29">
        <v>1.496</v>
      </c>
      <c r="AC52" s="22"/>
    </row>
    <row r="53" spans="1:29">
      <c r="A53" s="6"/>
      <c r="B53" s="6" t="s">
        <v>27</v>
      </c>
      <c r="C53" s="16" t="s">
        <v>99</v>
      </c>
      <c r="D53" s="6">
        <v>1671340</v>
      </c>
      <c r="E53" s="17">
        <v>10</v>
      </c>
      <c r="F53" s="16">
        <v>1</v>
      </c>
      <c r="G53" s="16"/>
      <c r="I53" s="41">
        <f t="shared" si="3"/>
        <v>9.2806969258200006E-2</v>
      </c>
      <c r="J53" s="41">
        <f t="shared" si="4"/>
        <v>9.2806969258200006E-2</v>
      </c>
      <c r="K53" s="31"/>
      <c r="L53" s="31"/>
      <c r="M53" s="41">
        <f t="shared" si="2"/>
        <v>9.2806969258200006E-2</v>
      </c>
      <c r="N53" s="51">
        <v>1671340</v>
      </c>
      <c r="O53" s="52">
        <v>155112</v>
      </c>
      <c r="P53" s="52">
        <v>155112</v>
      </c>
      <c r="Q53" s="53"/>
      <c r="R53" s="53"/>
      <c r="S53" s="27">
        <v>66.313999999999993</v>
      </c>
      <c r="T53" s="27">
        <v>69.275000000000006</v>
      </c>
      <c r="U53" s="35"/>
      <c r="V53" s="35"/>
      <c r="W53" s="35"/>
      <c r="X53" s="35"/>
      <c r="Y53" s="27">
        <v>0</v>
      </c>
      <c r="Z53" s="27">
        <v>2.1659999999999999</v>
      </c>
      <c r="AA53" s="27">
        <v>0</v>
      </c>
      <c r="AB53" s="27">
        <v>1.4910000000000001</v>
      </c>
    </row>
    <row r="54" spans="1:29" outlineLevel="1">
      <c r="A54" s="11"/>
      <c r="B54" s="11" t="s">
        <v>27</v>
      </c>
      <c r="C54" s="13" t="s">
        <v>100</v>
      </c>
      <c r="D54" s="11">
        <v>1671340</v>
      </c>
      <c r="E54" s="14">
        <v>10</v>
      </c>
      <c r="F54" s="13">
        <v>1</v>
      </c>
      <c r="G54" s="13"/>
      <c r="I54" s="43">
        <f t="shared" si="3"/>
        <v>0.11276221474984144</v>
      </c>
      <c r="J54" s="43">
        <f t="shared" si="4"/>
        <v>0.11276221474984144</v>
      </c>
      <c r="K54" s="32"/>
      <c r="L54" s="32"/>
      <c r="M54" s="43">
        <f t="shared" si="2"/>
        <v>0.11276221474984144</v>
      </c>
      <c r="N54" s="54">
        <v>1671340</v>
      </c>
      <c r="O54" s="55">
        <v>188464</v>
      </c>
      <c r="P54" s="55">
        <v>188464</v>
      </c>
      <c r="Q54" s="56"/>
      <c r="R54" s="56"/>
      <c r="S54" s="28">
        <v>67.659000000000006</v>
      </c>
      <c r="T54" s="28">
        <v>71.028000000000006</v>
      </c>
      <c r="U54" s="36"/>
      <c r="V54" s="36"/>
      <c r="W54" s="36"/>
      <c r="X54" s="36"/>
      <c r="Y54" s="28">
        <v>0</v>
      </c>
      <c r="Z54" s="28">
        <v>2.2610000000000001</v>
      </c>
      <c r="AA54" s="28">
        <v>0</v>
      </c>
      <c r="AB54" s="28">
        <v>1.573</v>
      </c>
    </row>
    <row r="55" spans="1:29" outlineLevel="1">
      <c r="A55" s="6"/>
      <c r="B55" s="6" t="s">
        <v>27</v>
      </c>
      <c r="C55" s="16" t="s">
        <v>101</v>
      </c>
      <c r="D55" s="6">
        <v>1671340</v>
      </c>
      <c r="E55" s="17">
        <v>10</v>
      </c>
      <c r="F55" s="16">
        <v>1</v>
      </c>
      <c r="G55" s="16"/>
      <c r="I55" s="41">
        <f t="shared" si="3"/>
        <v>0.12748573001304342</v>
      </c>
      <c r="J55" s="41">
        <f t="shared" si="4"/>
        <v>0.12748573001304342</v>
      </c>
      <c r="K55" s="31"/>
      <c r="L55" s="31"/>
      <c r="M55" s="41">
        <f t="shared" si="2"/>
        <v>0.12748573001304342</v>
      </c>
      <c r="N55" s="51">
        <v>1671340</v>
      </c>
      <c r="O55" s="52">
        <v>213072</v>
      </c>
      <c r="P55" s="52">
        <v>213072</v>
      </c>
      <c r="Q55" s="53"/>
      <c r="R55" s="53"/>
      <c r="S55" s="27">
        <v>68.05</v>
      </c>
      <c r="T55" s="27">
        <v>71.563999999999993</v>
      </c>
      <c r="U55" s="35"/>
      <c r="V55" s="35"/>
      <c r="W55" s="35"/>
      <c r="X55" s="35"/>
      <c r="Y55" s="27">
        <v>0</v>
      </c>
      <c r="Z55" s="27">
        <v>2.3359999999999999</v>
      </c>
      <c r="AA55" s="27">
        <v>0</v>
      </c>
      <c r="AB55" s="27">
        <v>1.59</v>
      </c>
    </row>
    <row r="56" spans="1:29" ht="15" outlineLevel="1" thickBot="1">
      <c r="A56" s="23"/>
      <c r="B56" s="23" t="s">
        <v>27</v>
      </c>
      <c r="C56" s="24" t="s">
        <v>102</v>
      </c>
      <c r="D56" s="23">
        <v>1671340</v>
      </c>
      <c r="E56" s="25">
        <v>10</v>
      </c>
      <c r="F56" s="24">
        <v>1</v>
      </c>
      <c r="G56" s="24"/>
      <c r="H56" s="26"/>
      <c r="I56" s="47">
        <f t="shared" si="3"/>
        <v>0.16462000550456521</v>
      </c>
      <c r="J56" s="47">
        <f t="shared" si="4"/>
        <v>0.16462000550456521</v>
      </c>
      <c r="K56" s="33"/>
      <c r="L56" s="33"/>
      <c r="M56" s="47">
        <f t="shared" si="2"/>
        <v>0.16462000550456521</v>
      </c>
      <c r="N56" s="49">
        <v>1671340</v>
      </c>
      <c r="O56" s="50">
        <v>275136</v>
      </c>
      <c r="P56" s="50">
        <v>275136</v>
      </c>
      <c r="Q56" s="60"/>
      <c r="R56" s="60"/>
      <c r="S56" s="30">
        <v>68.331999999999994</v>
      </c>
      <c r="T56" s="30">
        <v>71.882999999999996</v>
      </c>
      <c r="U56" s="38"/>
      <c r="V56" s="38"/>
      <c r="W56" s="38"/>
      <c r="X56" s="38"/>
      <c r="Y56" s="30">
        <v>0</v>
      </c>
      <c r="Z56" s="30">
        <v>2.3490000000000002</v>
      </c>
      <c r="AA56" s="30">
        <v>0</v>
      </c>
      <c r="AB56" s="30">
        <v>1.6719999999999999</v>
      </c>
      <c r="AC56" s="26"/>
    </row>
    <row r="57" spans="1:29">
      <c r="A57" s="6" t="s">
        <v>104</v>
      </c>
      <c r="B57" s="6" t="s">
        <v>29</v>
      </c>
      <c r="C57" s="16" t="s">
        <v>99</v>
      </c>
      <c r="D57" s="6">
        <v>37206518</v>
      </c>
      <c r="E57" s="17">
        <v>18</v>
      </c>
      <c r="F57" s="16">
        <v>300</v>
      </c>
      <c r="G57" s="16">
        <v>10</v>
      </c>
      <c r="I57" s="40">
        <f t="shared" ref="I57:I100" si="5">IF(OR(ISBLANK(O57),ISBLANK(G57)),"·",O57*G57/F57/1000000)</f>
        <v>0.34170853333333334</v>
      </c>
      <c r="J57" s="40">
        <f t="shared" ref="J57:J100" si="6">IF(OR(ISBLANK(P57),ISBLANK(G57)),"·",P57*G57/F57/1000000)</f>
        <v>0.34170853333333334</v>
      </c>
      <c r="K57" s="31"/>
      <c r="L57" s="31"/>
      <c r="M57" s="41">
        <f t="shared" si="2"/>
        <v>2.2057547006404512</v>
      </c>
      <c r="N57" s="51">
        <v>4647505</v>
      </c>
      <c r="O57" s="52">
        <v>10251256</v>
      </c>
      <c r="P57" s="52">
        <v>10251256</v>
      </c>
      <c r="Q57" s="64"/>
      <c r="R57" s="64"/>
      <c r="S57" s="27">
        <v>53.557243333333297</v>
      </c>
      <c r="T57" s="27">
        <v>60.666431333333399</v>
      </c>
      <c r="U57" s="35"/>
      <c r="V57" s="35"/>
      <c r="W57" s="35"/>
      <c r="X57" s="35"/>
      <c r="Y57" s="27">
        <v>0</v>
      </c>
      <c r="Z57" s="27">
        <v>0.65093311036789203</v>
      </c>
      <c r="AA57" s="27">
        <v>0</v>
      </c>
      <c r="AB57" s="27">
        <v>0.68043666666666602</v>
      </c>
    </row>
    <row r="58" spans="1:29" outlineLevel="1">
      <c r="A58" s="11"/>
      <c r="B58" s="11" t="s">
        <v>29</v>
      </c>
      <c r="C58" s="13" t="s">
        <v>100</v>
      </c>
      <c r="D58" s="11">
        <v>37206518</v>
      </c>
      <c r="E58" s="14">
        <v>18</v>
      </c>
      <c r="F58" s="13">
        <v>300</v>
      </c>
      <c r="G58" s="13">
        <v>10</v>
      </c>
      <c r="I58" s="42">
        <f t="shared" si="5"/>
        <v>2.1602760000000001</v>
      </c>
      <c r="J58" s="42">
        <f t="shared" si="6"/>
        <v>2.1602760000000001</v>
      </c>
      <c r="K58" s="32"/>
      <c r="L58" s="32"/>
      <c r="M58" s="43">
        <f t="shared" si="2"/>
        <v>3.1147819188671257</v>
      </c>
      <c r="N58" s="54">
        <v>20806683</v>
      </c>
      <c r="O58" s="55">
        <v>64808280</v>
      </c>
      <c r="P58" s="55">
        <v>64808280</v>
      </c>
      <c r="Q58" s="65"/>
      <c r="R58" s="65"/>
      <c r="S58" s="28">
        <v>65.609849666666605</v>
      </c>
      <c r="T58" s="28">
        <v>71.471586666666695</v>
      </c>
      <c r="U58" s="36"/>
      <c r="V58" s="36"/>
      <c r="W58" s="36"/>
      <c r="X58" s="36"/>
      <c r="Y58" s="28">
        <v>0</v>
      </c>
      <c r="Z58" s="28">
        <v>0.93410666666666597</v>
      </c>
      <c r="AA58" s="28">
        <v>0</v>
      </c>
      <c r="AB58" s="28">
        <v>1.0704466666666601</v>
      </c>
    </row>
    <row r="59" spans="1:29" outlineLevel="1">
      <c r="A59" s="6"/>
      <c r="B59" s="6" t="s">
        <v>29</v>
      </c>
      <c r="C59" s="16" t="s">
        <v>101</v>
      </c>
      <c r="D59" s="6">
        <v>37206518</v>
      </c>
      <c r="E59" s="17">
        <v>18</v>
      </c>
      <c r="F59" s="16">
        <v>300</v>
      </c>
      <c r="G59" s="16">
        <v>10</v>
      </c>
      <c r="I59" s="40">
        <f t="shared" si="5"/>
        <v>4.2803938666666665</v>
      </c>
      <c r="J59" s="40">
        <f t="shared" si="6"/>
        <v>4.2803938666666665</v>
      </c>
      <c r="K59" s="31"/>
      <c r="L59" s="31"/>
      <c r="M59" s="41">
        <f t="shared" si="2"/>
        <v>4.2111290752657267</v>
      </c>
      <c r="N59" s="51">
        <v>30493441</v>
      </c>
      <c r="O59" s="52">
        <v>128411816</v>
      </c>
      <c r="P59" s="52">
        <v>128411816</v>
      </c>
      <c r="Q59" s="64"/>
      <c r="R59" s="64"/>
      <c r="S59" s="27">
        <v>71.572289999999995</v>
      </c>
      <c r="T59" s="27">
        <v>76.968192333333306</v>
      </c>
      <c r="U59" s="35"/>
      <c r="V59" s="35"/>
      <c r="W59" s="35"/>
      <c r="X59" s="35"/>
      <c r="Y59" s="27">
        <v>0</v>
      </c>
      <c r="Z59" s="27">
        <v>1.1504214046822701</v>
      </c>
      <c r="AA59" s="27">
        <v>0</v>
      </c>
      <c r="AB59" s="27">
        <v>1.3136633333333301</v>
      </c>
    </row>
    <row r="60" spans="1:29" outlineLevel="1">
      <c r="A60" s="11"/>
      <c r="B60" s="20" t="s">
        <v>29</v>
      </c>
      <c r="C60" s="19" t="s">
        <v>102</v>
      </c>
      <c r="D60" s="20">
        <v>37206518</v>
      </c>
      <c r="E60" s="21">
        <v>18</v>
      </c>
      <c r="F60" s="19">
        <v>300</v>
      </c>
      <c r="G60" s="19">
        <v>10</v>
      </c>
      <c r="H60" s="22"/>
      <c r="I60" s="44">
        <f t="shared" si="5"/>
        <v>12.940850933333333</v>
      </c>
      <c r="J60" s="44">
        <f t="shared" si="6"/>
        <v>12.940850933333333</v>
      </c>
      <c r="K60" s="34"/>
      <c r="L60" s="34"/>
      <c r="M60" s="45">
        <f t="shared" si="2"/>
        <v>10.435939506928099</v>
      </c>
      <c r="N60" s="57">
        <v>37200822</v>
      </c>
      <c r="O60" s="58">
        <v>388225528</v>
      </c>
      <c r="P60" s="58">
        <v>388225528</v>
      </c>
      <c r="Q60" s="66"/>
      <c r="R60" s="66"/>
      <c r="S60" s="29">
        <v>87.810463999999897</v>
      </c>
      <c r="T60" s="29">
        <v>92.584303333333295</v>
      </c>
      <c r="U60" s="37"/>
      <c r="V60" s="37"/>
      <c r="W60" s="37"/>
      <c r="X60" s="37"/>
      <c r="Y60" s="29">
        <v>0</v>
      </c>
      <c r="Z60" s="29">
        <v>3.5941538461538398</v>
      </c>
      <c r="AA60" s="29">
        <v>0</v>
      </c>
      <c r="AB60" s="29">
        <v>4.1963599999999897</v>
      </c>
      <c r="AC60" s="22"/>
    </row>
    <row r="61" spans="1:29">
      <c r="A61" s="6"/>
      <c r="B61" s="6" t="s">
        <v>31</v>
      </c>
      <c r="C61" s="16" t="s">
        <v>99</v>
      </c>
      <c r="D61" s="6">
        <v>36058806</v>
      </c>
      <c r="E61" s="17">
        <v>18</v>
      </c>
      <c r="F61" s="16">
        <v>300</v>
      </c>
      <c r="G61" s="16">
        <v>10</v>
      </c>
      <c r="I61" s="40">
        <f t="shared" si="5"/>
        <v>0.93429253333333329</v>
      </c>
      <c r="J61" s="40">
        <f t="shared" si="6"/>
        <v>0.93429253333333329</v>
      </c>
      <c r="K61" s="31"/>
      <c r="L61" s="31"/>
      <c r="M61" s="41">
        <f t="shared" si="2"/>
        <v>2.8215602792329126</v>
      </c>
      <c r="N61" s="51">
        <v>9933786</v>
      </c>
      <c r="O61" s="52">
        <v>28028776</v>
      </c>
      <c r="P61" s="52">
        <v>28028776</v>
      </c>
      <c r="Q61" s="64"/>
      <c r="R61" s="64"/>
      <c r="S61" s="27">
        <v>53.417994666666601</v>
      </c>
      <c r="T61" s="27">
        <v>59.419973999999897</v>
      </c>
      <c r="U61" s="35"/>
      <c r="V61" s="35"/>
      <c r="W61" s="35"/>
      <c r="X61" s="35"/>
      <c r="Y61" s="27">
        <v>0</v>
      </c>
      <c r="Z61" s="27">
        <v>0.76785618729096905</v>
      </c>
      <c r="AA61" s="27">
        <v>0</v>
      </c>
      <c r="AB61" s="27">
        <v>0.94172666666666605</v>
      </c>
    </row>
    <row r="62" spans="1:29" outlineLevel="1">
      <c r="A62" s="11"/>
      <c r="B62" s="11" t="s">
        <v>31</v>
      </c>
      <c r="C62" s="13" t="s">
        <v>100</v>
      </c>
      <c r="D62" s="11">
        <v>36058806</v>
      </c>
      <c r="E62" s="14">
        <v>18</v>
      </c>
      <c r="F62" s="13">
        <v>300</v>
      </c>
      <c r="G62" s="13">
        <v>10</v>
      </c>
      <c r="I62" s="42">
        <f t="shared" si="5"/>
        <v>4.1255223999999995</v>
      </c>
      <c r="J62" s="42">
        <f t="shared" si="6"/>
        <v>4.1255223999999995</v>
      </c>
      <c r="K62" s="32"/>
      <c r="L62" s="32"/>
      <c r="M62" s="43">
        <f t="shared" si="2"/>
        <v>4.6983565199027737</v>
      </c>
      <c r="N62" s="54">
        <v>26342333</v>
      </c>
      <c r="O62" s="55">
        <v>123765672</v>
      </c>
      <c r="P62" s="55">
        <v>123765672</v>
      </c>
      <c r="Q62" s="65"/>
      <c r="R62" s="65"/>
      <c r="S62" s="28">
        <v>65.422605999999902</v>
      </c>
      <c r="T62" s="28">
        <v>70.618169666666603</v>
      </c>
      <c r="U62" s="36"/>
      <c r="V62" s="36"/>
      <c r="W62" s="36"/>
      <c r="X62" s="36"/>
      <c r="Y62" s="28">
        <v>0</v>
      </c>
      <c r="Z62" s="28">
        <v>1.10401672240802</v>
      </c>
      <c r="AA62" s="28">
        <v>0</v>
      </c>
      <c r="AB62" s="28">
        <v>1.9803499999999901</v>
      </c>
    </row>
    <row r="63" spans="1:29" outlineLevel="1">
      <c r="A63" s="6"/>
      <c r="B63" s="6" t="s">
        <v>31</v>
      </c>
      <c r="C63" s="16" t="s">
        <v>101</v>
      </c>
      <c r="D63" s="6">
        <v>36058806</v>
      </c>
      <c r="E63" s="17">
        <v>18</v>
      </c>
      <c r="F63" s="16">
        <v>300</v>
      </c>
      <c r="G63" s="16">
        <v>10</v>
      </c>
      <c r="I63" s="40">
        <f t="shared" si="5"/>
        <v>6.6065565333333334</v>
      </c>
      <c r="J63" s="40">
        <f t="shared" si="6"/>
        <v>6.6065565333333334</v>
      </c>
      <c r="K63" s="31"/>
      <c r="L63" s="31"/>
      <c r="M63" s="41">
        <f t="shared" si="2"/>
        <v>6.0741680541917988</v>
      </c>
      <c r="N63" s="51">
        <v>32629439</v>
      </c>
      <c r="O63" s="52">
        <v>198196696</v>
      </c>
      <c r="P63" s="52">
        <v>198196696</v>
      </c>
      <c r="Q63" s="64"/>
      <c r="R63" s="64"/>
      <c r="S63" s="27">
        <v>71.215816000000004</v>
      </c>
      <c r="T63" s="27">
        <v>76.440550000000002</v>
      </c>
      <c r="U63" s="35"/>
      <c r="V63" s="35"/>
      <c r="W63" s="35"/>
      <c r="X63" s="35"/>
      <c r="Y63" s="27">
        <v>0</v>
      </c>
      <c r="Z63" s="27">
        <v>1.25497658862876</v>
      </c>
      <c r="AA63" s="27">
        <v>0</v>
      </c>
      <c r="AB63" s="27">
        <v>1.7232766666666599</v>
      </c>
    </row>
    <row r="64" spans="1:29" outlineLevel="1">
      <c r="A64" s="11"/>
      <c r="B64" s="20" t="s">
        <v>31</v>
      </c>
      <c r="C64" s="19" t="s">
        <v>102</v>
      </c>
      <c r="D64" s="20">
        <v>36058806</v>
      </c>
      <c r="E64" s="21">
        <v>18</v>
      </c>
      <c r="F64" s="19">
        <v>300</v>
      </c>
      <c r="G64" s="19">
        <v>10</v>
      </c>
      <c r="H64" s="22"/>
      <c r="I64" s="44">
        <f t="shared" si="5"/>
        <v>15.260548533333333</v>
      </c>
      <c r="J64" s="44">
        <f t="shared" si="6"/>
        <v>15.260548533333333</v>
      </c>
      <c r="K64" s="34"/>
      <c r="L64" s="34"/>
      <c r="M64" s="45">
        <f t="shared" si="2"/>
        <v>12.696464866042827</v>
      </c>
      <c r="N64" s="57">
        <v>36058577</v>
      </c>
      <c r="O64" s="58">
        <v>457816456</v>
      </c>
      <c r="P64" s="58">
        <v>457816456</v>
      </c>
      <c r="Q64" s="66"/>
      <c r="R64" s="66"/>
      <c r="S64" s="29">
        <v>87.789361333333304</v>
      </c>
      <c r="T64" s="29">
        <v>92.567987333333306</v>
      </c>
      <c r="U64" s="37"/>
      <c r="V64" s="37"/>
      <c r="W64" s="37"/>
      <c r="X64" s="37"/>
      <c r="Y64" s="29">
        <v>0</v>
      </c>
      <c r="Z64" s="29">
        <v>3.6263244147157101</v>
      </c>
      <c r="AA64" s="29">
        <v>0</v>
      </c>
      <c r="AB64" s="29">
        <v>4.2866299999999899</v>
      </c>
      <c r="AC64" s="22"/>
    </row>
    <row r="65" spans="1:29">
      <c r="A65" s="6"/>
      <c r="B65" s="6" t="s">
        <v>33</v>
      </c>
      <c r="C65" s="16" t="s">
        <v>99</v>
      </c>
      <c r="D65" s="6">
        <v>33707925</v>
      </c>
      <c r="E65" s="17">
        <v>18</v>
      </c>
      <c r="F65" s="16">
        <v>300</v>
      </c>
      <c r="G65" s="16">
        <v>10</v>
      </c>
      <c r="I65" s="40">
        <f t="shared" si="5"/>
        <v>0.33852080000000001</v>
      </c>
      <c r="J65" s="40">
        <f t="shared" si="6"/>
        <v>0.33852080000000001</v>
      </c>
      <c r="K65" s="31"/>
      <c r="L65" s="31"/>
      <c r="M65" s="41">
        <f t="shared" si="2"/>
        <v>2.3636931116369646</v>
      </c>
      <c r="N65" s="51">
        <v>4296507</v>
      </c>
      <c r="O65" s="52">
        <v>10155624</v>
      </c>
      <c r="P65" s="52">
        <v>10155624</v>
      </c>
      <c r="Q65" s="64"/>
      <c r="R65" s="64"/>
      <c r="S65" s="27">
        <v>53.699985666666599</v>
      </c>
      <c r="T65" s="27">
        <v>60.604589666666598</v>
      </c>
      <c r="U65" s="35"/>
      <c r="V65" s="35"/>
      <c r="W65" s="35"/>
      <c r="X65" s="35"/>
      <c r="Y65" s="27">
        <v>0</v>
      </c>
      <c r="Z65" s="27">
        <v>0.65734448160535097</v>
      </c>
      <c r="AA65" s="27">
        <v>0</v>
      </c>
      <c r="AB65" s="27">
        <v>0.79145666666666603</v>
      </c>
    </row>
    <row r="66" spans="1:29" outlineLevel="1">
      <c r="A66" s="11"/>
      <c r="B66" s="11" t="s">
        <v>33</v>
      </c>
      <c r="C66" s="13" t="s">
        <v>100</v>
      </c>
      <c r="D66" s="11">
        <v>33707925</v>
      </c>
      <c r="E66" s="14">
        <v>18</v>
      </c>
      <c r="F66" s="13">
        <v>300</v>
      </c>
      <c r="G66" s="13">
        <v>10</v>
      </c>
      <c r="I66" s="42">
        <f t="shared" si="5"/>
        <v>1.7389549333333334</v>
      </c>
      <c r="J66" s="42">
        <f t="shared" si="6"/>
        <v>1.7389549333333334</v>
      </c>
      <c r="K66" s="32"/>
      <c r="L66" s="32"/>
      <c r="M66" s="43">
        <f t="shared" si="2"/>
        <v>2.8284135355104132</v>
      </c>
      <c r="N66" s="54">
        <v>18444491</v>
      </c>
      <c r="O66" s="55">
        <v>52168648</v>
      </c>
      <c r="P66" s="55">
        <v>52168648</v>
      </c>
      <c r="Q66" s="65"/>
      <c r="R66" s="65"/>
      <c r="S66" s="28">
        <v>65.893733333333302</v>
      </c>
      <c r="T66" s="28">
        <v>71.900130333333294</v>
      </c>
      <c r="U66" s="36"/>
      <c r="V66" s="36"/>
      <c r="W66" s="36"/>
      <c r="X66" s="36"/>
      <c r="Y66" s="28">
        <v>0</v>
      </c>
      <c r="Z66" s="28">
        <v>0.92489632107023401</v>
      </c>
      <c r="AA66" s="28">
        <v>0</v>
      </c>
      <c r="AB66" s="28">
        <v>1.6014233333333301</v>
      </c>
    </row>
    <row r="67" spans="1:29" outlineLevel="1">
      <c r="A67" s="6"/>
      <c r="B67" s="6" t="s">
        <v>33</v>
      </c>
      <c r="C67" s="16" t="s">
        <v>101</v>
      </c>
      <c r="D67" s="6">
        <v>33707925</v>
      </c>
      <c r="E67" s="17">
        <v>18</v>
      </c>
      <c r="F67" s="16">
        <v>300</v>
      </c>
      <c r="G67" s="16">
        <v>10</v>
      </c>
      <c r="I67" s="40">
        <f t="shared" si="5"/>
        <v>3.4025066666666666</v>
      </c>
      <c r="J67" s="40">
        <f t="shared" si="6"/>
        <v>3.4025066666666666</v>
      </c>
      <c r="K67" s="31"/>
      <c r="L67" s="31"/>
      <c r="M67" s="41">
        <f t="shared" si="2"/>
        <v>3.6799243907254047</v>
      </c>
      <c r="N67" s="51">
        <v>27738396</v>
      </c>
      <c r="O67" s="52">
        <v>102075200</v>
      </c>
      <c r="P67" s="52">
        <v>102075200</v>
      </c>
      <c r="Q67" s="64"/>
      <c r="R67" s="64"/>
      <c r="S67" s="27">
        <v>71.930247333333298</v>
      </c>
      <c r="T67" s="27">
        <v>77.295720333333193</v>
      </c>
      <c r="U67" s="35"/>
      <c r="V67" s="35"/>
      <c r="W67" s="35"/>
      <c r="X67" s="35"/>
      <c r="Y67" s="27">
        <v>0</v>
      </c>
      <c r="Z67" s="27">
        <v>1.1283478260869499</v>
      </c>
      <c r="AA67" s="27">
        <v>0</v>
      </c>
      <c r="AB67" s="27">
        <v>1.60415</v>
      </c>
    </row>
    <row r="68" spans="1:29" outlineLevel="1">
      <c r="A68" s="11"/>
      <c r="B68" s="20" t="s">
        <v>33</v>
      </c>
      <c r="C68" s="19" t="s">
        <v>102</v>
      </c>
      <c r="D68" s="20">
        <v>33707925</v>
      </c>
      <c r="E68" s="21">
        <v>18</v>
      </c>
      <c r="F68" s="19">
        <v>300</v>
      </c>
      <c r="G68" s="19">
        <v>10</v>
      </c>
      <c r="H68" s="22"/>
      <c r="I68" s="44">
        <f t="shared" si="5"/>
        <v>10.862025333333333</v>
      </c>
      <c r="J68" s="44">
        <f t="shared" si="6"/>
        <v>10.862025333333333</v>
      </c>
      <c r="K68" s="34"/>
      <c r="L68" s="34"/>
      <c r="M68" s="45">
        <f t="shared" si="2"/>
        <v>9.6679431530066076</v>
      </c>
      <c r="N68" s="57">
        <v>33705283</v>
      </c>
      <c r="O68" s="58">
        <v>325860760</v>
      </c>
      <c r="P68" s="58">
        <v>325860760</v>
      </c>
      <c r="Q68" s="66"/>
      <c r="R68" s="66"/>
      <c r="S68" s="29">
        <v>87.804292000000004</v>
      </c>
      <c r="T68" s="29">
        <v>92.579853666666594</v>
      </c>
      <c r="U68" s="37"/>
      <c r="V68" s="37"/>
      <c r="W68" s="37"/>
      <c r="X68" s="37"/>
      <c r="Y68" s="29">
        <v>0</v>
      </c>
      <c r="Z68" s="29">
        <v>3.2593043478260801</v>
      </c>
      <c r="AA68" s="29">
        <v>0</v>
      </c>
      <c r="AB68" s="29">
        <v>3.9659300000000002</v>
      </c>
      <c r="AC68" s="22"/>
    </row>
    <row r="69" spans="1:29">
      <c r="A69" s="6"/>
      <c r="B69" s="6" t="s">
        <v>35</v>
      </c>
      <c r="C69" s="16" t="s">
        <v>99</v>
      </c>
      <c r="D69" s="6">
        <v>37860349</v>
      </c>
      <c r="E69" s="17">
        <v>18</v>
      </c>
      <c r="F69" s="16">
        <v>300</v>
      </c>
      <c r="G69" s="16">
        <v>10</v>
      </c>
      <c r="I69" s="40">
        <f t="shared" si="5"/>
        <v>0.58459386666666668</v>
      </c>
      <c r="J69" s="40">
        <f t="shared" si="6"/>
        <v>0.58459386666666668</v>
      </c>
      <c r="K69" s="31"/>
      <c r="L69" s="31"/>
      <c r="M69" s="41">
        <f t="shared" ref="M69:M100" si="7">IF(ISBLANK(O69),"·",O69/N69)</f>
        <v>2.4080337836761663</v>
      </c>
      <c r="N69" s="51">
        <v>7283044</v>
      </c>
      <c r="O69" s="52">
        <v>17537816</v>
      </c>
      <c r="P69" s="52">
        <v>17537816</v>
      </c>
      <c r="Q69" s="64"/>
      <c r="R69" s="64"/>
      <c r="S69" s="27">
        <v>53.508613999999902</v>
      </c>
      <c r="T69" s="27">
        <v>59.793753666666603</v>
      </c>
      <c r="U69" s="35"/>
      <c r="V69" s="35"/>
      <c r="W69" s="35"/>
      <c r="X69" s="35"/>
      <c r="Y69" s="27">
        <v>0</v>
      </c>
      <c r="Z69" s="27">
        <v>0.73756521739130398</v>
      </c>
      <c r="AA69" s="27">
        <v>0</v>
      </c>
      <c r="AB69" s="27">
        <v>0.89111333333333198</v>
      </c>
    </row>
    <row r="70" spans="1:29" outlineLevel="1">
      <c r="A70" s="11"/>
      <c r="B70" s="11" t="s">
        <v>35</v>
      </c>
      <c r="C70" s="13" t="s">
        <v>100</v>
      </c>
      <c r="D70" s="11">
        <v>37860349</v>
      </c>
      <c r="E70" s="14">
        <v>18</v>
      </c>
      <c r="F70" s="13">
        <v>300</v>
      </c>
      <c r="G70" s="13">
        <v>10</v>
      </c>
      <c r="I70" s="42">
        <f t="shared" si="5"/>
        <v>2.9337816000000001</v>
      </c>
      <c r="J70" s="42">
        <f t="shared" si="6"/>
        <v>2.9337816000000001</v>
      </c>
      <c r="K70" s="32"/>
      <c r="L70" s="32"/>
      <c r="M70" s="43">
        <f t="shared" si="7"/>
        <v>3.6784737803135679</v>
      </c>
      <c r="N70" s="54">
        <v>23926621</v>
      </c>
      <c r="O70" s="55">
        <v>88013448</v>
      </c>
      <c r="P70" s="55">
        <v>88013448</v>
      </c>
      <c r="Q70" s="65"/>
      <c r="R70" s="65"/>
      <c r="S70" s="28">
        <v>65.463565666666696</v>
      </c>
      <c r="T70" s="28">
        <v>71.181663333333205</v>
      </c>
      <c r="U70" s="36"/>
      <c r="V70" s="36"/>
      <c r="W70" s="36"/>
      <c r="X70" s="36"/>
      <c r="Y70" s="28">
        <v>0</v>
      </c>
      <c r="Z70" s="28">
        <v>1.0475217391304299</v>
      </c>
      <c r="AA70" s="28">
        <v>0</v>
      </c>
      <c r="AB70" s="28">
        <v>1.84012666666666</v>
      </c>
    </row>
    <row r="71" spans="1:29" outlineLevel="1">
      <c r="A71" s="6"/>
      <c r="B71" s="6" t="s">
        <v>35</v>
      </c>
      <c r="C71" s="16" t="s">
        <v>101</v>
      </c>
      <c r="D71" s="6">
        <v>37860349</v>
      </c>
      <c r="E71" s="17">
        <v>18</v>
      </c>
      <c r="F71" s="16">
        <v>300</v>
      </c>
      <c r="G71" s="16">
        <v>10</v>
      </c>
      <c r="I71" s="40">
        <f t="shared" si="5"/>
        <v>5.3101304000000003</v>
      </c>
      <c r="J71" s="40">
        <f t="shared" si="6"/>
        <v>5.3101304000000003</v>
      </c>
      <c r="K71" s="31"/>
      <c r="L71" s="31"/>
      <c r="M71" s="41">
        <f t="shared" si="7"/>
        <v>4.8921753864147837</v>
      </c>
      <c r="N71" s="51">
        <v>32563001</v>
      </c>
      <c r="O71" s="52">
        <v>159303912</v>
      </c>
      <c r="P71" s="52">
        <v>159303912</v>
      </c>
      <c r="Q71" s="64"/>
      <c r="R71" s="64"/>
      <c r="S71" s="27">
        <v>71.261099333333306</v>
      </c>
      <c r="T71" s="27">
        <v>76.8290273333333</v>
      </c>
      <c r="U71" s="35"/>
      <c r="V71" s="35"/>
      <c r="W71" s="35"/>
      <c r="X71" s="35"/>
      <c r="Y71" s="27">
        <v>0</v>
      </c>
      <c r="Z71" s="27">
        <v>1.2349732441471499</v>
      </c>
      <c r="AA71" s="27">
        <v>0</v>
      </c>
      <c r="AB71" s="27">
        <v>1.8808166666666599</v>
      </c>
    </row>
    <row r="72" spans="1:29" outlineLevel="1">
      <c r="A72" s="11"/>
      <c r="B72" s="20" t="s">
        <v>35</v>
      </c>
      <c r="C72" s="19" t="s">
        <v>102</v>
      </c>
      <c r="D72" s="20">
        <v>37860349</v>
      </c>
      <c r="E72" s="21">
        <v>18</v>
      </c>
      <c r="F72" s="19">
        <v>300</v>
      </c>
      <c r="G72" s="19">
        <v>10</v>
      </c>
      <c r="H72" s="22"/>
      <c r="I72" s="44">
        <f t="shared" si="5"/>
        <v>14.294005866666668</v>
      </c>
      <c r="J72" s="44">
        <f t="shared" si="6"/>
        <v>14.294005866666668</v>
      </c>
      <c r="K72" s="34"/>
      <c r="L72" s="34"/>
      <c r="M72" s="45">
        <f t="shared" si="7"/>
        <v>11.327643432706186</v>
      </c>
      <c r="N72" s="57">
        <v>37856080</v>
      </c>
      <c r="O72" s="58">
        <v>428820176</v>
      </c>
      <c r="P72" s="58">
        <v>428820176</v>
      </c>
      <c r="Q72" s="66"/>
      <c r="R72" s="66"/>
      <c r="S72" s="29">
        <v>87.798923666666596</v>
      </c>
      <c r="T72" s="29">
        <v>92.5794723333332</v>
      </c>
      <c r="U72" s="37"/>
      <c r="V72" s="37"/>
      <c r="W72" s="37"/>
      <c r="X72" s="37"/>
      <c r="Y72" s="29">
        <v>0</v>
      </c>
      <c r="Z72" s="29">
        <v>3.7519464882943101</v>
      </c>
      <c r="AA72" s="29">
        <v>0</v>
      </c>
      <c r="AB72" s="29">
        <v>4.4182033333333299</v>
      </c>
      <c r="AC72" s="22"/>
    </row>
    <row r="73" spans="1:29">
      <c r="A73" s="6"/>
      <c r="B73" s="6" t="s">
        <v>36</v>
      </c>
      <c r="C73" s="16" t="s">
        <v>99</v>
      </c>
      <c r="D73" s="6">
        <v>36341273</v>
      </c>
      <c r="E73" s="17">
        <v>18</v>
      </c>
      <c r="F73" s="16">
        <v>300</v>
      </c>
      <c r="G73" s="16">
        <v>10</v>
      </c>
      <c r="I73" s="40">
        <f t="shared" si="5"/>
        <v>0.41962373333333336</v>
      </c>
      <c r="J73" s="40">
        <f t="shared" si="6"/>
        <v>0.41962373333333336</v>
      </c>
      <c r="K73" s="31"/>
      <c r="L73" s="31"/>
      <c r="M73" s="41">
        <f t="shared" si="7"/>
        <v>2.418043562275122</v>
      </c>
      <c r="N73" s="51">
        <v>5206156</v>
      </c>
      <c r="O73" s="52">
        <v>12588712</v>
      </c>
      <c r="P73" s="52">
        <v>12588712</v>
      </c>
      <c r="Q73" s="64"/>
      <c r="R73" s="64"/>
      <c r="S73" s="27">
        <v>53.523277333333297</v>
      </c>
      <c r="T73" s="27">
        <v>60.312417000000003</v>
      </c>
      <c r="U73" s="35"/>
      <c r="V73" s="35"/>
      <c r="W73" s="35"/>
      <c r="X73" s="35"/>
      <c r="Y73" s="27">
        <v>0</v>
      </c>
      <c r="Z73" s="27">
        <v>1.1576254180601999</v>
      </c>
      <c r="AA73" s="27">
        <v>0</v>
      </c>
      <c r="AB73" s="27">
        <v>0.80148999999999904</v>
      </c>
    </row>
    <row r="74" spans="1:29" outlineLevel="1">
      <c r="A74" s="11"/>
      <c r="B74" s="11" t="s">
        <v>36</v>
      </c>
      <c r="C74" s="13" t="s">
        <v>100</v>
      </c>
      <c r="D74" s="11">
        <v>36341273</v>
      </c>
      <c r="E74" s="14">
        <v>18</v>
      </c>
      <c r="F74" s="13">
        <v>300</v>
      </c>
      <c r="G74" s="13">
        <v>10</v>
      </c>
      <c r="I74" s="42">
        <f t="shared" si="5"/>
        <v>2.3740749333333331</v>
      </c>
      <c r="J74" s="42">
        <f t="shared" si="6"/>
        <v>2.3740749333333331</v>
      </c>
      <c r="K74" s="32"/>
      <c r="L74" s="32"/>
      <c r="M74" s="43">
        <f t="shared" si="7"/>
        <v>3.3242580188775674</v>
      </c>
      <c r="N74" s="54">
        <v>21425006</v>
      </c>
      <c r="O74" s="55">
        <v>71222248</v>
      </c>
      <c r="P74" s="55">
        <v>71222248</v>
      </c>
      <c r="Q74" s="65"/>
      <c r="R74" s="65"/>
      <c r="S74" s="28">
        <v>65.660932999999901</v>
      </c>
      <c r="T74" s="28">
        <v>71.362677999999903</v>
      </c>
      <c r="U74" s="36"/>
      <c r="V74" s="36"/>
      <c r="W74" s="36"/>
      <c r="X74" s="36"/>
      <c r="Y74" s="28">
        <v>0</v>
      </c>
      <c r="Z74" s="28">
        <v>1.51092642140468</v>
      </c>
      <c r="AA74" s="28">
        <v>0</v>
      </c>
      <c r="AB74" s="28">
        <v>1.69976666666666</v>
      </c>
    </row>
    <row r="75" spans="1:29" outlineLevel="1">
      <c r="A75" s="6"/>
      <c r="B75" s="6" t="s">
        <v>36</v>
      </c>
      <c r="C75" s="16" t="s">
        <v>101</v>
      </c>
      <c r="D75" s="6">
        <v>36341273</v>
      </c>
      <c r="E75" s="17">
        <v>18</v>
      </c>
      <c r="F75" s="16">
        <v>300</v>
      </c>
      <c r="G75" s="16">
        <v>10</v>
      </c>
      <c r="I75" s="40">
        <f t="shared" si="5"/>
        <v>4.4640653333333331</v>
      </c>
      <c r="J75" s="40">
        <f t="shared" si="6"/>
        <v>4.4640653333333331</v>
      </c>
      <c r="K75" s="31"/>
      <c r="L75" s="31"/>
      <c r="M75" s="41">
        <f t="shared" si="7"/>
        <v>4.4018128419432454</v>
      </c>
      <c r="N75" s="51">
        <v>30424274</v>
      </c>
      <c r="O75" s="52">
        <v>133921960</v>
      </c>
      <c r="P75" s="52">
        <v>133921960</v>
      </c>
      <c r="Q75" s="64"/>
      <c r="R75" s="64"/>
      <c r="S75" s="27">
        <v>71.609584333333302</v>
      </c>
      <c r="T75" s="27">
        <v>76.908145666666599</v>
      </c>
      <c r="U75" s="35"/>
      <c r="V75" s="35"/>
      <c r="W75" s="35"/>
      <c r="X75" s="35"/>
      <c r="Y75" s="27">
        <v>0</v>
      </c>
      <c r="Z75" s="27">
        <v>1.5047023411371201</v>
      </c>
      <c r="AA75" s="27">
        <v>0</v>
      </c>
      <c r="AB75" s="27">
        <v>1.6071299999999999</v>
      </c>
    </row>
    <row r="76" spans="1:29" outlineLevel="1">
      <c r="A76" s="11"/>
      <c r="B76" s="20" t="s">
        <v>36</v>
      </c>
      <c r="C76" s="19" t="s">
        <v>102</v>
      </c>
      <c r="D76" s="20">
        <v>36341273</v>
      </c>
      <c r="E76" s="21">
        <v>18</v>
      </c>
      <c r="F76" s="19">
        <v>300</v>
      </c>
      <c r="G76" s="19">
        <v>10</v>
      </c>
      <c r="H76" s="22"/>
      <c r="I76" s="44">
        <f t="shared" si="5"/>
        <v>12.832070400000001</v>
      </c>
      <c r="J76" s="44">
        <f t="shared" si="6"/>
        <v>12.832070400000001</v>
      </c>
      <c r="K76" s="34"/>
      <c r="L76" s="34"/>
      <c r="M76" s="45">
        <f t="shared" si="7"/>
        <v>10.594365582040865</v>
      </c>
      <c r="N76" s="57">
        <v>36336495</v>
      </c>
      <c r="O76" s="58">
        <v>384962112</v>
      </c>
      <c r="P76" s="58">
        <v>384962112</v>
      </c>
      <c r="Q76" s="66"/>
      <c r="R76" s="66"/>
      <c r="S76" s="29">
        <v>87.805749999999904</v>
      </c>
      <c r="T76" s="29">
        <v>92.582538</v>
      </c>
      <c r="U76" s="37"/>
      <c r="V76" s="37"/>
      <c r="W76" s="37"/>
      <c r="X76" s="37"/>
      <c r="Y76" s="29">
        <v>0</v>
      </c>
      <c r="Z76" s="29">
        <v>3.5269300000000001</v>
      </c>
      <c r="AA76" s="29">
        <v>0</v>
      </c>
      <c r="AB76" s="29">
        <v>4.09518</v>
      </c>
      <c r="AC76" s="22"/>
    </row>
    <row r="77" spans="1:29">
      <c r="A77" s="6"/>
      <c r="B77" s="6" t="s">
        <v>38</v>
      </c>
      <c r="C77" s="16" t="s">
        <v>99</v>
      </c>
      <c r="D77" s="6">
        <v>37065383</v>
      </c>
      <c r="E77" s="17">
        <v>18</v>
      </c>
      <c r="F77" s="16">
        <v>300</v>
      </c>
      <c r="G77" s="16">
        <v>10</v>
      </c>
      <c r="I77" s="40">
        <f t="shared" si="5"/>
        <v>0.54471786666666666</v>
      </c>
      <c r="J77" s="40">
        <f t="shared" si="6"/>
        <v>0.54471786666666666</v>
      </c>
      <c r="K77" s="31"/>
      <c r="L77" s="31"/>
      <c r="M77" s="41">
        <f t="shared" si="7"/>
        <v>2.2553796583048342</v>
      </c>
      <c r="N77" s="51">
        <v>7245581</v>
      </c>
      <c r="O77" s="52">
        <v>16341536</v>
      </c>
      <c r="P77" s="52">
        <v>16341536</v>
      </c>
      <c r="Q77" s="64"/>
      <c r="R77" s="64"/>
      <c r="S77" s="27">
        <v>53.768776999999901</v>
      </c>
      <c r="T77" s="27">
        <v>60.592374333333296</v>
      </c>
      <c r="U77" s="35"/>
      <c r="V77" s="35"/>
      <c r="W77" s="35"/>
      <c r="X77" s="35"/>
      <c r="Y77" s="27">
        <v>0</v>
      </c>
      <c r="Z77" s="27">
        <v>0.68673244147157197</v>
      </c>
      <c r="AA77" s="27">
        <v>0</v>
      </c>
      <c r="AB77" s="27">
        <v>0.83498333333333297</v>
      </c>
    </row>
    <row r="78" spans="1:29" outlineLevel="1">
      <c r="A78" s="11"/>
      <c r="B78" s="11" t="s">
        <v>38</v>
      </c>
      <c r="C78" s="13" t="s">
        <v>100</v>
      </c>
      <c r="D78" s="11">
        <v>37065383</v>
      </c>
      <c r="E78" s="14">
        <v>18</v>
      </c>
      <c r="F78" s="13">
        <v>300</v>
      </c>
      <c r="G78" s="13">
        <v>10</v>
      </c>
      <c r="I78" s="42">
        <f t="shared" si="5"/>
        <v>2.5674821333333333</v>
      </c>
      <c r="J78" s="42">
        <f t="shared" si="6"/>
        <v>2.5674821333333333</v>
      </c>
      <c r="K78" s="32"/>
      <c r="L78" s="32"/>
      <c r="M78" s="43">
        <f t="shared" si="7"/>
        <v>3.1798672154172429</v>
      </c>
      <c r="N78" s="54">
        <v>24222541</v>
      </c>
      <c r="O78" s="55">
        <v>77024464</v>
      </c>
      <c r="P78" s="55">
        <v>77024464</v>
      </c>
      <c r="Q78" s="65"/>
      <c r="R78" s="65"/>
      <c r="S78" s="28">
        <v>66.302894666666603</v>
      </c>
      <c r="T78" s="28">
        <v>71.952669333333304</v>
      </c>
      <c r="U78" s="36"/>
      <c r="V78" s="36"/>
      <c r="W78" s="36"/>
      <c r="X78" s="36"/>
      <c r="Y78" s="28">
        <v>0</v>
      </c>
      <c r="Z78" s="28">
        <v>1.0298695652173899</v>
      </c>
      <c r="AA78" s="28">
        <v>0</v>
      </c>
      <c r="AB78" s="28">
        <v>1.73498999999999</v>
      </c>
    </row>
    <row r="79" spans="1:29" outlineLevel="1">
      <c r="A79" s="6"/>
      <c r="B79" s="6" t="s">
        <v>38</v>
      </c>
      <c r="C79" s="16" t="s">
        <v>101</v>
      </c>
      <c r="D79" s="6">
        <v>37065383</v>
      </c>
      <c r="E79" s="17">
        <v>18</v>
      </c>
      <c r="F79" s="16">
        <v>300</v>
      </c>
      <c r="G79" s="16">
        <v>10</v>
      </c>
      <c r="I79" s="40">
        <f t="shared" si="5"/>
        <v>4.5078490666666662</v>
      </c>
      <c r="J79" s="40">
        <f t="shared" si="6"/>
        <v>4.5078490666666662</v>
      </c>
      <c r="K79" s="31"/>
      <c r="L79" s="31"/>
      <c r="M79" s="41">
        <f t="shared" si="7"/>
        <v>4.1862615692530651</v>
      </c>
      <c r="N79" s="51">
        <v>32304592</v>
      </c>
      <c r="O79" s="52">
        <v>135235472</v>
      </c>
      <c r="P79" s="52">
        <v>135235472</v>
      </c>
      <c r="Q79" s="64"/>
      <c r="R79" s="64"/>
      <c r="S79" s="27">
        <v>71.914545666666598</v>
      </c>
      <c r="T79" s="27">
        <v>77.419360666666606</v>
      </c>
      <c r="U79" s="35"/>
      <c r="V79" s="35"/>
      <c r="W79" s="35"/>
      <c r="X79" s="35"/>
      <c r="Y79" s="27">
        <v>0</v>
      </c>
      <c r="Z79" s="27">
        <v>1.22394983277591</v>
      </c>
      <c r="AA79" s="27">
        <v>0</v>
      </c>
      <c r="AB79" s="27">
        <v>1.78349</v>
      </c>
    </row>
    <row r="80" spans="1:29" outlineLevel="1">
      <c r="A80" s="11"/>
      <c r="B80" s="20" t="s">
        <v>38</v>
      </c>
      <c r="C80" s="19" t="s">
        <v>102</v>
      </c>
      <c r="D80" s="20">
        <v>37065383</v>
      </c>
      <c r="E80" s="21">
        <v>18</v>
      </c>
      <c r="F80" s="19">
        <v>300</v>
      </c>
      <c r="G80" s="19">
        <v>10</v>
      </c>
      <c r="H80" s="22"/>
      <c r="I80" s="44">
        <f t="shared" si="5"/>
        <v>12.629073066666667</v>
      </c>
      <c r="J80" s="44">
        <f t="shared" si="6"/>
        <v>12.629073066666667</v>
      </c>
      <c r="K80" s="34"/>
      <c r="L80" s="34"/>
      <c r="M80" s="45">
        <f t="shared" si="7"/>
        <v>10.221852384700631</v>
      </c>
      <c r="N80" s="57">
        <v>37064925</v>
      </c>
      <c r="O80" s="58">
        <v>378872192</v>
      </c>
      <c r="P80" s="58">
        <v>378872192</v>
      </c>
      <c r="Q80" s="66"/>
      <c r="R80" s="66"/>
      <c r="S80" s="29">
        <v>87.793053333333305</v>
      </c>
      <c r="T80" s="29">
        <v>92.574095999999997</v>
      </c>
      <c r="U80" s="37"/>
      <c r="V80" s="37"/>
      <c r="W80" s="37"/>
      <c r="X80" s="37"/>
      <c r="Y80" s="29">
        <v>0</v>
      </c>
      <c r="Z80" s="29">
        <v>3.6633612040133698</v>
      </c>
      <c r="AA80" s="29">
        <v>0</v>
      </c>
      <c r="AB80" s="29">
        <v>4.2023266666666599</v>
      </c>
      <c r="AC80" s="22"/>
    </row>
    <row r="81" spans="1:29">
      <c r="A81" s="6"/>
      <c r="B81" s="6" t="s">
        <v>39</v>
      </c>
      <c r="C81" s="16" t="s">
        <v>99</v>
      </c>
      <c r="D81" s="6">
        <v>34936642</v>
      </c>
      <c r="E81" s="17">
        <v>18</v>
      </c>
      <c r="F81" s="16">
        <v>300</v>
      </c>
      <c r="G81" s="16">
        <v>10</v>
      </c>
      <c r="I81" s="40">
        <f t="shared" si="5"/>
        <v>1.0111914666666666</v>
      </c>
      <c r="J81" s="40">
        <f t="shared" si="6"/>
        <v>1.0111914666666666</v>
      </c>
      <c r="K81" s="31"/>
      <c r="L81" s="31"/>
      <c r="M81" s="41">
        <f t="shared" si="7"/>
        <v>2.9239327690270245</v>
      </c>
      <c r="N81" s="51">
        <v>10374980</v>
      </c>
      <c r="O81" s="52">
        <v>30335744</v>
      </c>
      <c r="P81" s="52">
        <v>30335744</v>
      </c>
      <c r="Q81" s="64"/>
      <c r="R81" s="64"/>
      <c r="S81" s="27">
        <v>53.489210999999997</v>
      </c>
      <c r="T81" s="27">
        <v>59.698652666666597</v>
      </c>
      <c r="U81" s="35"/>
      <c r="V81" s="35"/>
      <c r="W81" s="35"/>
      <c r="X81" s="35"/>
      <c r="Y81" s="27">
        <v>0</v>
      </c>
      <c r="Z81" s="27">
        <v>0.78058528428093599</v>
      </c>
      <c r="AA81" s="27">
        <v>0</v>
      </c>
      <c r="AB81" s="27">
        <v>1.0753633333333299</v>
      </c>
    </row>
    <row r="82" spans="1:29" outlineLevel="1">
      <c r="A82" s="11"/>
      <c r="B82" s="11" t="s">
        <v>39</v>
      </c>
      <c r="C82" s="13" t="s">
        <v>100</v>
      </c>
      <c r="D82" s="11">
        <v>34936642</v>
      </c>
      <c r="E82" s="14">
        <v>18</v>
      </c>
      <c r="F82" s="13">
        <v>300</v>
      </c>
      <c r="G82" s="13">
        <v>10</v>
      </c>
      <c r="I82" s="42">
        <f t="shared" si="5"/>
        <v>4.0914514666666664</v>
      </c>
      <c r="J82" s="42">
        <f t="shared" si="6"/>
        <v>4.0914514666666664</v>
      </c>
      <c r="K82" s="32"/>
      <c r="L82" s="32"/>
      <c r="M82" s="43">
        <f t="shared" si="7"/>
        <v>4.7532087104894645</v>
      </c>
      <c r="N82" s="54">
        <v>25823302</v>
      </c>
      <c r="O82" s="55">
        <v>122743544</v>
      </c>
      <c r="P82" s="55">
        <v>122743544</v>
      </c>
      <c r="Q82" s="65"/>
      <c r="R82" s="65"/>
      <c r="S82" s="28">
        <v>65.528160999999997</v>
      </c>
      <c r="T82" s="28">
        <v>70.887120666666604</v>
      </c>
      <c r="U82" s="36"/>
      <c r="V82" s="36"/>
      <c r="W82" s="36"/>
      <c r="X82" s="36"/>
      <c r="Y82" s="28">
        <v>0</v>
      </c>
      <c r="Z82" s="28">
        <v>1.1066020066889599</v>
      </c>
      <c r="AA82" s="28">
        <v>0</v>
      </c>
      <c r="AB82" s="28">
        <v>1.8962399999999899</v>
      </c>
    </row>
    <row r="83" spans="1:29" outlineLevel="1">
      <c r="A83" s="6"/>
      <c r="B83" s="6" t="s">
        <v>39</v>
      </c>
      <c r="C83" s="16" t="s">
        <v>101</v>
      </c>
      <c r="D83" s="6">
        <v>34936642</v>
      </c>
      <c r="E83" s="17">
        <v>18</v>
      </c>
      <c r="F83" s="16">
        <v>300</v>
      </c>
      <c r="G83" s="16">
        <v>10</v>
      </c>
      <c r="I83" s="40">
        <f t="shared" si="5"/>
        <v>6.4145079999999997</v>
      </c>
      <c r="J83" s="40">
        <f t="shared" si="6"/>
        <v>6.4145079999999997</v>
      </c>
      <c r="K83" s="31"/>
      <c r="L83" s="31"/>
      <c r="M83" s="41">
        <f t="shared" si="7"/>
        <v>6.0774676482274463</v>
      </c>
      <c r="N83" s="51">
        <v>31663721</v>
      </c>
      <c r="O83" s="52">
        <v>192435240</v>
      </c>
      <c r="P83" s="52">
        <v>192435240</v>
      </c>
      <c r="Q83" s="64"/>
      <c r="R83" s="64"/>
      <c r="S83" s="27">
        <v>71.265647000000001</v>
      </c>
      <c r="T83" s="27">
        <v>76.665615333333307</v>
      </c>
      <c r="U83" s="35"/>
      <c r="V83" s="35"/>
      <c r="W83" s="35"/>
      <c r="X83" s="35"/>
      <c r="Y83" s="27">
        <v>0</v>
      </c>
      <c r="Z83" s="27">
        <v>1.3072374581939801</v>
      </c>
      <c r="AA83" s="27">
        <v>0</v>
      </c>
      <c r="AB83" s="27">
        <v>1.7423199999999901</v>
      </c>
    </row>
    <row r="84" spans="1:29" outlineLevel="1">
      <c r="A84" s="11"/>
      <c r="B84" s="20" t="s">
        <v>39</v>
      </c>
      <c r="C84" s="19" t="s">
        <v>102</v>
      </c>
      <c r="D84" s="20">
        <v>34936642</v>
      </c>
      <c r="E84" s="21">
        <v>18</v>
      </c>
      <c r="F84" s="19">
        <v>300</v>
      </c>
      <c r="G84" s="19">
        <v>10</v>
      </c>
      <c r="H84" s="22"/>
      <c r="I84" s="44">
        <f t="shared" si="5"/>
        <v>14.689083199999999</v>
      </c>
      <c r="J84" s="44">
        <f t="shared" si="6"/>
        <v>14.689083199999999</v>
      </c>
      <c r="K84" s="34"/>
      <c r="L84" s="34"/>
      <c r="M84" s="45">
        <f t="shared" si="7"/>
        <v>12.61356988826147</v>
      </c>
      <c r="N84" s="57">
        <v>34936382</v>
      </c>
      <c r="O84" s="58">
        <v>440672496</v>
      </c>
      <c r="P84" s="58">
        <v>440672496</v>
      </c>
      <c r="Q84" s="66"/>
      <c r="R84" s="66"/>
      <c r="S84" s="29">
        <v>87.788793999999996</v>
      </c>
      <c r="T84" s="29">
        <v>92.567222999999998</v>
      </c>
      <c r="U84" s="37"/>
      <c r="V84" s="37"/>
      <c r="W84" s="37"/>
      <c r="X84" s="37"/>
      <c r="Y84" s="29">
        <v>0</v>
      </c>
      <c r="Z84" s="29">
        <v>3.6534882943143798</v>
      </c>
      <c r="AA84" s="29">
        <v>0</v>
      </c>
      <c r="AB84" s="29">
        <v>4.2665833333333296</v>
      </c>
      <c r="AC84" s="22"/>
    </row>
    <row r="85" spans="1:29">
      <c r="A85" s="6"/>
      <c r="B85" s="6" t="s">
        <v>41</v>
      </c>
      <c r="C85" s="16" t="s">
        <v>99</v>
      </c>
      <c r="D85" s="6">
        <v>37138845</v>
      </c>
      <c r="E85" s="17">
        <v>18</v>
      </c>
      <c r="F85" s="16">
        <v>300</v>
      </c>
      <c r="G85" s="16">
        <v>10</v>
      </c>
      <c r="I85" s="40">
        <f t="shared" si="5"/>
        <v>0.44215679999999996</v>
      </c>
      <c r="J85" s="40">
        <f t="shared" si="6"/>
        <v>0.44215679999999996</v>
      </c>
      <c r="K85" s="31"/>
      <c r="L85" s="31"/>
      <c r="M85" s="41">
        <f t="shared" si="7"/>
        <v>2.2650110059963939</v>
      </c>
      <c r="N85" s="51">
        <v>5856353</v>
      </c>
      <c r="O85" s="52">
        <v>13264704</v>
      </c>
      <c r="P85" s="52">
        <v>13264704</v>
      </c>
      <c r="Q85" s="64"/>
      <c r="R85" s="64"/>
      <c r="S85" s="27">
        <v>53.8126203333332</v>
      </c>
      <c r="T85" s="27">
        <v>60.7482853333333</v>
      </c>
      <c r="U85" s="35"/>
      <c r="V85" s="35"/>
      <c r="W85" s="35"/>
      <c r="X85" s="35"/>
      <c r="Y85" s="27">
        <v>0</v>
      </c>
      <c r="Z85" s="27">
        <v>0.70439799331103603</v>
      </c>
      <c r="AA85" s="27">
        <v>0</v>
      </c>
      <c r="AB85" s="27">
        <v>0.89445333333333199</v>
      </c>
    </row>
    <row r="86" spans="1:29" outlineLevel="1">
      <c r="A86" s="11"/>
      <c r="B86" s="11" t="s">
        <v>41</v>
      </c>
      <c r="C86" s="13" t="s">
        <v>100</v>
      </c>
      <c r="D86" s="11">
        <v>37138845</v>
      </c>
      <c r="E86" s="14">
        <v>18</v>
      </c>
      <c r="F86" s="13">
        <v>300</v>
      </c>
      <c r="G86" s="13">
        <v>10</v>
      </c>
      <c r="I86" s="42">
        <f t="shared" si="5"/>
        <v>2.1467322666666666</v>
      </c>
      <c r="J86" s="42">
        <f t="shared" si="6"/>
        <v>2.1467322666666666</v>
      </c>
      <c r="K86" s="32"/>
      <c r="L86" s="32"/>
      <c r="M86" s="43">
        <f t="shared" si="7"/>
        <v>2.9421487527794805</v>
      </c>
      <c r="N86" s="54">
        <v>21889433</v>
      </c>
      <c r="O86" s="55">
        <v>64401968</v>
      </c>
      <c r="P86" s="55">
        <v>64401968</v>
      </c>
      <c r="Q86" s="65"/>
      <c r="R86" s="65"/>
      <c r="S86" s="28">
        <v>66.181554333333295</v>
      </c>
      <c r="T86" s="28">
        <v>72.165192666666698</v>
      </c>
      <c r="U86" s="36"/>
      <c r="V86" s="36"/>
      <c r="W86" s="36"/>
      <c r="X86" s="36"/>
      <c r="Y86" s="28">
        <v>0</v>
      </c>
      <c r="Z86" s="28">
        <v>0.99325418060200599</v>
      </c>
      <c r="AA86" s="28">
        <v>0</v>
      </c>
      <c r="AB86" s="28">
        <v>1.7819699999999901</v>
      </c>
    </row>
    <row r="87" spans="1:29" outlineLevel="1">
      <c r="A87" s="6"/>
      <c r="B87" s="6" t="s">
        <v>41</v>
      </c>
      <c r="C87" s="16" t="s">
        <v>101</v>
      </c>
      <c r="D87" s="6">
        <v>37138845</v>
      </c>
      <c r="E87" s="17">
        <v>18</v>
      </c>
      <c r="F87" s="16">
        <v>300</v>
      </c>
      <c r="G87" s="16">
        <v>10</v>
      </c>
      <c r="I87" s="40">
        <f t="shared" si="5"/>
        <v>4.0309738666666668</v>
      </c>
      <c r="J87" s="40">
        <f t="shared" si="6"/>
        <v>4.0309738666666668</v>
      </c>
      <c r="K87" s="31"/>
      <c r="L87" s="31"/>
      <c r="M87" s="41">
        <f t="shared" si="7"/>
        <v>3.852464651982054</v>
      </c>
      <c r="N87" s="51">
        <v>31390091</v>
      </c>
      <c r="O87" s="52">
        <v>120929216</v>
      </c>
      <c r="P87" s="52">
        <v>120929216</v>
      </c>
      <c r="Q87" s="64"/>
      <c r="R87" s="64"/>
      <c r="S87" s="27">
        <v>71.977057333333306</v>
      </c>
      <c r="T87" s="27">
        <v>77.591073333333298</v>
      </c>
      <c r="U87" s="35"/>
      <c r="V87" s="35"/>
      <c r="W87" s="35"/>
      <c r="X87" s="35"/>
      <c r="Y87" s="27">
        <v>0</v>
      </c>
      <c r="Z87" s="27">
        <v>1.2102374581939701</v>
      </c>
      <c r="AA87" s="27">
        <v>0</v>
      </c>
      <c r="AB87" s="27">
        <v>1.6077999999999899</v>
      </c>
    </row>
    <row r="88" spans="1:29" outlineLevel="1">
      <c r="A88" s="11"/>
      <c r="B88" s="20" t="s">
        <v>41</v>
      </c>
      <c r="C88" s="19" t="s">
        <v>102</v>
      </c>
      <c r="D88" s="20">
        <v>37138845</v>
      </c>
      <c r="E88" s="21">
        <v>18</v>
      </c>
      <c r="F88" s="19">
        <v>300</v>
      </c>
      <c r="G88" s="19">
        <v>10</v>
      </c>
      <c r="H88" s="22"/>
      <c r="I88" s="44">
        <f t="shared" si="5"/>
        <v>12.197141333333335</v>
      </c>
      <c r="J88" s="44">
        <f t="shared" si="6"/>
        <v>12.197141333333335</v>
      </c>
      <c r="K88" s="34"/>
      <c r="L88" s="34"/>
      <c r="M88" s="45">
        <f t="shared" si="7"/>
        <v>9.8526826809207542</v>
      </c>
      <c r="N88" s="57">
        <v>37138539</v>
      </c>
      <c r="O88" s="58">
        <v>365914240</v>
      </c>
      <c r="P88" s="58">
        <v>365914240</v>
      </c>
      <c r="Q88" s="66"/>
      <c r="R88" s="66"/>
      <c r="S88" s="29">
        <v>87.794832</v>
      </c>
      <c r="T88" s="29">
        <v>92.575575666666595</v>
      </c>
      <c r="U88" s="37"/>
      <c r="V88" s="37"/>
      <c r="W88" s="37"/>
      <c r="X88" s="37"/>
      <c r="Y88" s="29">
        <v>0</v>
      </c>
      <c r="Z88" s="29">
        <v>3.5963879598662198</v>
      </c>
      <c r="AA88" s="29">
        <v>0</v>
      </c>
      <c r="AB88" s="29">
        <v>3.6759633333333301</v>
      </c>
      <c r="AC88" s="22"/>
    </row>
    <row r="89" spans="1:29">
      <c r="A89" s="6"/>
      <c r="B89" s="6" t="s">
        <v>42</v>
      </c>
      <c r="C89" s="16" t="s">
        <v>99</v>
      </c>
      <c r="D89" s="6">
        <v>35909009</v>
      </c>
      <c r="E89" s="17">
        <v>18</v>
      </c>
      <c r="F89" s="16">
        <v>300</v>
      </c>
      <c r="G89" s="16">
        <v>10</v>
      </c>
      <c r="I89" s="40">
        <f t="shared" si="5"/>
        <v>0.50193413333333337</v>
      </c>
      <c r="J89" s="40">
        <f t="shared" si="6"/>
        <v>0.50193413333333337</v>
      </c>
      <c r="K89" s="31"/>
      <c r="L89" s="31"/>
      <c r="M89" s="41">
        <f t="shared" si="7"/>
        <v>2.3821264549923882</v>
      </c>
      <c r="N89" s="51">
        <v>6321253</v>
      </c>
      <c r="O89" s="52">
        <v>15058024</v>
      </c>
      <c r="P89" s="52">
        <v>15058024</v>
      </c>
      <c r="Q89" s="64"/>
      <c r="R89" s="64"/>
      <c r="S89" s="27">
        <v>53.860012333333302</v>
      </c>
      <c r="T89" s="27">
        <v>60.826681333333298</v>
      </c>
      <c r="U89" s="35"/>
      <c r="V89" s="35"/>
      <c r="W89" s="35"/>
      <c r="X89" s="35"/>
      <c r="Y89" s="27">
        <v>0</v>
      </c>
      <c r="Z89" s="27">
        <v>0.86616387959866203</v>
      </c>
      <c r="AA89" s="27">
        <v>0</v>
      </c>
      <c r="AB89" s="27">
        <v>0.70102666666666602</v>
      </c>
    </row>
    <row r="90" spans="1:29" outlineLevel="1">
      <c r="A90" s="11"/>
      <c r="B90" s="11" t="s">
        <v>42</v>
      </c>
      <c r="C90" s="13" t="s">
        <v>100</v>
      </c>
      <c r="D90" s="11">
        <v>35909009</v>
      </c>
      <c r="E90" s="14">
        <v>18</v>
      </c>
      <c r="F90" s="13">
        <v>300</v>
      </c>
      <c r="G90" s="13">
        <v>10</v>
      </c>
      <c r="I90" s="42">
        <f t="shared" si="5"/>
        <v>2.1968578666666665</v>
      </c>
      <c r="J90" s="42">
        <f t="shared" si="6"/>
        <v>2.1968578666666665</v>
      </c>
      <c r="K90" s="32"/>
      <c r="L90" s="32"/>
      <c r="M90" s="43">
        <f t="shared" si="7"/>
        <v>3.0115994062319147</v>
      </c>
      <c r="N90" s="54">
        <v>21883965</v>
      </c>
      <c r="O90" s="55">
        <v>65905736</v>
      </c>
      <c r="P90" s="55">
        <v>65905736</v>
      </c>
      <c r="Q90" s="65"/>
      <c r="R90" s="65"/>
      <c r="S90" s="28">
        <v>66.251114666666695</v>
      </c>
      <c r="T90" s="28">
        <v>72.134853666666601</v>
      </c>
      <c r="U90" s="36"/>
      <c r="V90" s="36"/>
      <c r="W90" s="36"/>
      <c r="X90" s="36"/>
      <c r="Y90" s="28">
        <v>0</v>
      </c>
      <c r="Z90" s="28">
        <v>1.2710334448160501</v>
      </c>
      <c r="AA90" s="28">
        <v>0</v>
      </c>
      <c r="AB90" s="28">
        <v>1.0638133333333299</v>
      </c>
    </row>
    <row r="91" spans="1:29" outlineLevel="1">
      <c r="A91" s="6"/>
      <c r="B91" s="6" t="s">
        <v>42</v>
      </c>
      <c r="C91" s="16" t="s">
        <v>101</v>
      </c>
      <c r="D91" s="6">
        <v>35909009</v>
      </c>
      <c r="E91" s="17">
        <v>18</v>
      </c>
      <c r="F91" s="16">
        <v>300</v>
      </c>
      <c r="G91" s="16">
        <v>10</v>
      </c>
      <c r="I91" s="40">
        <f t="shared" si="5"/>
        <v>6.4838802666666666</v>
      </c>
      <c r="J91" s="40">
        <f t="shared" si="6"/>
        <v>6.4838802666666666</v>
      </c>
      <c r="K91" s="31"/>
      <c r="L91" s="31"/>
      <c r="M91" s="41">
        <f t="shared" si="7"/>
        <v>5.5304731513486338</v>
      </c>
      <c r="N91" s="51">
        <v>35171748</v>
      </c>
      <c r="O91" s="52">
        <v>194516408</v>
      </c>
      <c r="P91" s="52">
        <v>194516408</v>
      </c>
      <c r="Q91" s="64"/>
      <c r="R91" s="64"/>
      <c r="S91" s="27">
        <v>77.315883666666593</v>
      </c>
      <c r="T91" s="27">
        <v>82.448052333333294</v>
      </c>
      <c r="U91" s="35"/>
      <c r="V91" s="35"/>
      <c r="W91" s="35"/>
      <c r="X91" s="35"/>
      <c r="Y91" s="27">
        <v>0</v>
      </c>
      <c r="Z91" s="27">
        <v>1.7182307692307599</v>
      </c>
      <c r="AA91" s="27">
        <v>0</v>
      </c>
      <c r="AB91" s="27">
        <v>1.54986</v>
      </c>
    </row>
    <row r="92" spans="1:29" outlineLevel="1">
      <c r="A92" s="11"/>
      <c r="B92" s="20" t="s">
        <v>42</v>
      </c>
      <c r="C92" s="19" t="s">
        <v>102</v>
      </c>
      <c r="D92" s="20">
        <v>35909009</v>
      </c>
      <c r="E92" s="21">
        <v>18</v>
      </c>
      <c r="F92" s="19">
        <v>300</v>
      </c>
      <c r="G92" s="19">
        <v>10</v>
      </c>
      <c r="H92" s="22"/>
      <c r="I92" s="44">
        <f t="shared" si="5"/>
        <v>11.800916800000001</v>
      </c>
      <c r="J92" s="44">
        <f t="shared" si="6"/>
        <v>11.800916800000001</v>
      </c>
      <c r="K92" s="34"/>
      <c r="L92" s="34"/>
      <c r="M92" s="45">
        <f t="shared" si="7"/>
        <v>9.8593855618120969</v>
      </c>
      <c r="N92" s="57">
        <v>35907664</v>
      </c>
      <c r="O92" s="58">
        <v>354027504</v>
      </c>
      <c r="P92" s="58">
        <v>354027504</v>
      </c>
      <c r="Q92" s="66"/>
      <c r="R92" s="66"/>
      <c r="S92" s="29">
        <v>87.798159666666606</v>
      </c>
      <c r="T92" s="29">
        <v>92.576984999999993</v>
      </c>
      <c r="U92" s="37"/>
      <c r="V92" s="37"/>
      <c r="W92" s="37"/>
      <c r="X92" s="37"/>
      <c r="Y92" s="29">
        <v>0</v>
      </c>
      <c r="Z92" s="29">
        <v>5.67823411371237</v>
      </c>
      <c r="AA92" s="29">
        <v>0</v>
      </c>
      <c r="AB92" s="29">
        <v>3.6412499999999999</v>
      </c>
      <c r="AC92" s="22"/>
    </row>
    <row r="93" spans="1:29">
      <c r="A93" s="6"/>
      <c r="B93" s="6" t="s">
        <v>43</v>
      </c>
      <c r="C93" s="16" t="s">
        <v>99</v>
      </c>
      <c r="D93" s="6">
        <v>35317364</v>
      </c>
      <c r="E93" s="17">
        <v>18</v>
      </c>
      <c r="F93" s="16">
        <v>300</v>
      </c>
      <c r="G93" s="16">
        <v>10</v>
      </c>
      <c r="I93" s="40">
        <f t="shared" si="5"/>
        <v>0.49052559999999995</v>
      </c>
      <c r="J93" s="40">
        <f t="shared" si="6"/>
        <v>0.49052559999999995</v>
      </c>
      <c r="K93" s="31"/>
      <c r="L93" s="31"/>
      <c r="M93" s="41">
        <f t="shared" si="7"/>
        <v>2.2080715620927136</v>
      </c>
      <c r="N93" s="51">
        <v>6664534</v>
      </c>
      <c r="O93" s="52">
        <v>14715768</v>
      </c>
      <c r="P93" s="52">
        <v>14715768</v>
      </c>
      <c r="Q93" s="64"/>
      <c r="R93" s="64"/>
      <c r="S93" s="27">
        <v>53.423116666666601</v>
      </c>
      <c r="T93" s="27">
        <v>59.507436666666599</v>
      </c>
      <c r="U93" s="35"/>
      <c r="V93" s="35"/>
      <c r="W93" s="35"/>
      <c r="X93" s="35"/>
      <c r="Y93" s="27">
        <v>0</v>
      </c>
      <c r="Z93" s="27">
        <v>1.2338963210702301</v>
      </c>
      <c r="AA93" s="27">
        <v>0</v>
      </c>
      <c r="AB93" s="27">
        <v>0.738339999999999</v>
      </c>
    </row>
    <row r="94" spans="1:29" outlineLevel="1">
      <c r="A94" s="11"/>
      <c r="B94" s="11" t="s">
        <v>43</v>
      </c>
      <c r="C94" s="13" t="s">
        <v>100</v>
      </c>
      <c r="D94" s="11">
        <v>35317364</v>
      </c>
      <c r="E94" s="14">
        <v>18</v>
      </c>
      <c r="F94" s="13">
        <v>300</v>
      </c>
      <c r="G94" s="13">
        <v>10</v>
      </c>
      <c r="I94" s="42">
        <f t="shared" si="5"/>
        <v>2.7616464000000001</v>
      </c>
      <c r="J94" s="42">
        <f t="shared" si="6"/>
        <v>2.7616464000000001</v>
      </c>
      <c r="K94" s="32"/>
      <c r="L94" s="32"/>
      <c r="M94" s="43">
        <f t="shared" si="7"/>
        <v>3.5775059285127457</v>
      </c>
      <c r="N94" s="54">
        <v>23158422</v>
      </c>
      <c r="O94" s="55">
        <v>82849392</v>
      </c>
      <c r="P94" s="55">
        <v>82849392</v>
      </c>
      <c r="Q94" s="65"/>
      <c r="R94" s="65"/>
      <c r="S94" s="28">
        <v>65.554267666666703</v>
      </c>
      <c r="T94" s="28">
        <v>70.798004000000006</v>
      </c>
      <c r="U94" s="36"/>
      <c r="V94" s="36"/>
      <c r="W94" s="36"/>
      <c r="X94" s="36"/>
      <c r="Y94" s="28">
        <v>0</v>
      </c>
      <c r="Z94" s="28">
        <v>1.4082408026755799</v>
      </c>
      <c r="AA94" s="28">
        <v>0</v>
      </c>
      <c r="AB94" s="28">
        <v>1.2400266666666599</v>
      </c>
    </row>
    <row r="95" spans="1:29" outlineLevel="1">
      <c r="A95" s="6"/>
      <c r="B95" s="6" t="s">
        <v>43</v>
      </c>
      <c r="C95" s="16" t="s">
        <v>101</v>
      </c>
      <c r="D95" s="6">
        <v>35317364</v>
      </c>
      <c r="E95" s="17">
        <v>18</v>
      </c>
      <c r="F95" s="16">
        <v>300</v>
      </c>
      <c r="G95" s="16">
        <v>10</v>
      </c>
      <c r="I95" s="40">
        <f t="shared" si="5"/>
        <v>4.8455466666666673</v>
      </c>
      <c r="J95" s="40">
        <f t="shared" si="6"/>
        <v>4.8455466666666673</v>
      </c>
      <c r="K95" s="31"/>
      <c r="L95" s="31"/>
      <c r="M95" s="41">
        <f t="shared" si="7"/>
        <v>4.7177099369627982</v>
      </c>
      <c r="N95" s="51">
        <v>30812916</v>
      </c>
      <c r="O95" s="52">
        <v>145366400</v>
      </c>
      <c r="P95" s="52">
        <v>145366400</v>
      </c>
      <c r="Q95" s="64"/>
      <c r="R95" s="64"/>
      <c r="S95" s="27">
        <v>71.443420666666697</v>
      </c>
      <c r="T95" s="27">
        <v>76.684127333333294</v>
      </c>
      <c r="U95" s="35"/>
      <c r="V95" s="35"/>
      <c r="W95" s="35"/>
      <c r="X95" s="35"/>
      <c r="Y95" s="27">
        <v>0</v>
      </c>
      <c r="Z95" s="27">
        <v>1.55690969899665</v>
      </c>
      <c r="AA95" s="27">
        <v>0</v>
      </c>
      <c r="AB95" s="27">
        <v>1.41628666666666</v>
      </c>
    </row>
    <row r="96" spans="1:29" outlineLevel="1">
      <c r="A96" s="11"/>
      <c r="B96" s="20" t="s">
        <v>43</v>
      </c>
      <c r="C96" s="19" t="s">
        <v>102</v>
      </c>
      <c r="D96" s="20">
        <v>35317364</v>
      </c>
      <c r="E96" s="21">
        <v>18</v>
      </c>
      <c r="F96" s="19">
        <v>300</v>
      </c>
      <c r="G96" s="19">
        <v>10</v>
      </c>
      <c r="H96" s="22"/>
      <c r="I96" s="44">
        <f t="shared" si="5"/>
        <v>12.877185333333333</v>
      </c>
      <c r="J96" s="44">
        <f t="shared" si="6"/>
        <v>12.877185333333333</v>
      </c>
      <c r="K96" s="34"/>
      <c r="L96" s="34"/>
      <c r="M96" s="45">
        <f t="shared" si="7"/>
        <v>10.938743690442454</v>
      </c>
      <c r="N96" s="57">
        <v>35316264</v>
      </c>
      <c r="O96" s="58">
        <v>386315560</v>
      </c>
      <c r="P96" s="58">
        <v>386315560</v>
      </c>
      <c r="Q96" s="66"/>
      <c r="R96" s="66"/>
      <c r="S96" s="29">
        <v>87.795676666666594</v>
      </c>
      <c r="T96" s="29">
        <v>92.572943666666603</v>
      </c>
      <c r="U96" s="37"/>
      <c r="V96" s="37"/>
      <c r="W96" s="37"/>
      <c r="X96" s="37"/>
      <c r="Y96" s="29">
        <v>0</v>
      </c>
      <c r="Z96" s="29">
        <v>4.2604782608695597</v>
      </c>
      <c r="AA96" s="29">
        <v>0</v>
      </c>
      <c r="AB96" s="29">
        <v>3.6745299999999999</v>
      </c>
      <c r="AC96" s="22"/>
    </row>
    <row r="97" spans="1:29">
      <c r="A97" s="6"/>
      <c r="B97" s="6" t="s">
        <v>44</v>
      </c>
      <c r="C97" s="16" t="s">
        <v>99</v>
      </c>
      <c r="D97" s="6">
        <v>37168995</v>
      </c>
      <c r="E97" s="17">
        <v>18</v>
      </c>
      <c r="F97" s="16">
        <v>300</v>
      </c>
      <c r="G97" s="16">
        <v>10</v>
      </c>
      <c r="I97" s="40">
        <f t="shared" si="5"/>
        <v>0.58839066666666662</v>
      </c>
      <c r="J97" s="40">
        <f t="shared" si="6"/>
        <v>0.58839066666666662</v>
      </c>
      <c r="K97" s="31"/>
      <c r="L97" s="31"/>
      <c r="M97" s="41">
        <f t="shared" si="7"/>
        <v>2.3317970511784205</v>
      </c>
      <c r="N97" s="51">
        <v>7570007</v>
      </c>
      <c r="O97" s="52">
        <v>17651720</v>
      </c>
      <c r="P97" s="52">
        <v>17651720</v>
      </c>
      <c r="Q97" s="64"/>
      <c r="R97" s="67"/>
      <c r="S97" s="27">
        <v>53.718246333333298</v>
      </c>
      <c r="T97" s="27">
        <v>59.973422333333303</v>
      </c>
      <c r="U97" s="35"/>
      <c r="V97" s="35"/>
      <c r="W97" s="35"/>
      <c r="X97" s="35"/>
      <c r="Y97" s="27">
        <v>0</v>
      </c>
      <c r="Z97" s="27">
        <v>1.23514381270903</v>
      </c>
      <c r="AA97" s="27">
        <v>0</v>
      </c>
      <c r="AB97" s="27">
        <v>0.74260666666666497</v>
      </c>
    </row>
    <row r="98" spans="1:29" outlineLevel="1">
      <c r="A98" s="11"/>
      <c r="B98" s="11" t="s">
        <v>44</v>
      </c>
      <c r="C98" s="13" t="s">
        <v>100</v>
      </c>
      <c r="D98" s="11">
        <v>37168995</v>
      </c>
      <c r="E98" s="14">
        <v>18</v>
      </c>
      <c r="F98" s="13">
        <v>300</v>
      </c>
      <c r="G98" s="13">
        <v>10</v>
      </c>
      <c r="I98" s="42">
        <f t="shared" si="5"/>
        <v>2.9534330666666668</v>
      </c>
      <c r="J98" s="42">
        <f t="shared" si="6"/>
        <v>2.9534330666666668</v>
      </c>
      <c r="K98" s="32"/>
      <c r="L98" s="32"/>
      <c r="M98" s="43">
        <f t="shared" si="7"/>
        <v>3.5866800867121471</v>
      </c>
      <c r="N98" s="54">
        <v>24703344</v>
      </c>
      <c r="O98" s="55">
        <v>88602992</v>
      </c>
      <c r="P98" s="55">
        <v>88602992</v>
      </c>
      <c r="Q98" s="65"/>
      <c r="R98" s="68"/>
      <c r="S98" s="28">
        <v>65.73845</v>
      </c>
      <c r="T98" s="28">
        <v>71.262677999999894</v>
      </c>
      <c r="U98" s="36"/>
      <c r="V98" s="36"/>
      <c r="W98" s="36"/>
      <c r="X98" s="36"/>
      <c r="Y98" s="28">
        <v>0</v>
      </c>
      <c r="Z98" s="28">
        <v>1.6430936454849401</v>
      </c>
      <c r="AA98" s="28">
        <v>0</v>
      </c>
      <c r="AB98" s="28">
        <v>1.1594933333333299</v>
      </c>
    </row>
    <row r="99" spans="1:29" outlineLevel="1">
      <c r="A99" s="6"/>
      <c r="B99" s="6" t="s">
        <v>44</v>
      </c>
      <c r="C99" s="16" t="s">
        <v>101</v>
      </c>
      <c r="D99" s="6">
        <v>37168995</v>
      </c>
      <c r="E99" s="17">
        <v>18</v>
      </c>
      <c r="F99" s="16">
        <v>300</v>
      </c>
      <c r="G99" s="16">
        <v>10</v>
      </c>
      <c r="I99" s="40">
        <f t="shared" si="5"/>
        <v>5.1804839999999999</v>
      </c>
      <c r="J99" s="40">
        <f t="shared" si="6"/>
        <v>5.1804839999999999</v>
      </c>
      <c r="K99" s="31"/>
      <c r="L99" s="31"/>
      <c r="M99" s="41">
        <f t="shared" si="7"/>
        <v>4.7339010316015937</v>
      </c>
      <c r="N99" s="51">
        <v>32830116</v>
      </c>
      <c r="O99" s="52">
        <v>155414520</v>
      </c>
      <c r="P99" s="52">
        <v>155414520</v>
      </c>
      <c r="Q99" s="64"/>
      <c r="R99" s="67"/>
      <c r="S99" s="27">
        <v>71.603526666666596</v>
      </c>
      <c r="T99" s="27">
        <v>77.023471999999998</v>
      </c>
      <c r="U99" s="35"/>
      <c r="V99" s="35"/>
      <c r="W99" s="35"/>
      <c r="X99" s="35"/>
      <c r="Y99" s="27">
        <v>0</v>
      </c>
      <c r="Z99" s="27">
        <v>1.7364983277591901</v>
      </c>
      <c r="AA99" s="27">
        <v>0</v>
      </c>
      <c r="AB99" s="27">
        <v>1.4155266666666599</v>
      </c>
    </row>
    <row r="100" spans="1:29" ht="15" outlineLevel="1" thickBot="1">
      <c r="A100" s="23"/>
      <c r="B100" s="23" t="s">
        <v>44</v>
      </c>
      <c r="C100" s="24" t="s">
        <v>102</v>
      </c>
      <c r="D100" s="23">
        <v>37168995</v>
      </c>
      <c r="E100" s="25">
        <v>18</v>
      </c>
      <c r="F100" s="24">
        <v>300</v>
      </c>
      <c r="G100" s="24">
        <v>10</v>
      </c>
      <c r="H100" s="26"/>
      <c r="I100" s="46">
        <f t="shared" si="5"/>
        <v>13.549644000000001</v>
      </c>
      <c r="J100" s="46">
        <f t="shared" si="6"/>
        <v>13.549644000000001</v>
      </c>
      <c r="K100" s="33"/>
      <c r="L100" s="33"/>
      <c r="M100" s="47">
        <f t="shared" si="7"/>
        <v>10.936295521373809</v>
      </c>
      <c r="N100" s="49">
        <v>37168831</v>
      </c>
      <c r="O100" s="50">
        <v>406489320</v>
      </c>
      <c r="P100" s="50">
        <v>406489320</v>
      </c>
      <c r="Q100" s="69"/>
      <c r="R100" s="70"/>
      <c r="S100" s="30">
        <v>87.789901999999998</v>
      </c>
      <c r="T100" s="30">
        <v>92.569316000000001</v>
      </c>
      <c r="U100" s="38"/>
      <c r="V100" s="38"/>
      <c r="W100" s="38"/>
      <c r="X100" s="38"/>
      <c r="Y100" s="30">
        <v>0</v>
      </c>
      <c r="Z100" s="30">
        <v>3.6789999999999998</v>
      </c>
      <c r="AA100" s="30">
        <v>0</v>
      </c>
      <c r="AB100" s="30">
        <v>3.7763166666666601</v>
      </c>
      <c r="AC100" s="26"/>
    </row>
    <row r="102" spans="1:29" outlineLevel="1"/>
    <row r="103" spans="1:29" outlineLevel="1"/>
    <row r="104" spans="1:29" outlineLevel="1"/>
    <row r="105" spans="1:29" outlineLevel="1"/>
    <row r="106" spans="1:29" outlineLevel="1"/>
    <row r="108" spans="1:29" outlineLevel="1"/>
    <row r="109" spans="1:29" outlineLevel="1"/>
    <row r="110" spans="1:29" outlineLevel="1"/>
    <row r="111" spans="1:29" outlineLevel="1"/>
    <row r="112" spans="1:29" outlineLevel="1"/>
    <row r="114" outlineLevel="1"/>
    <row r="115" outlineLevel="1"/>
    <row r="116" outlineLevel="1"/>
    <row r="117" outlineLevel="1"/>
    <row r="118" outlineLevel="1"/>
    <row r="120" outlineLevel="1"/>
    <row r="121" outlineLevel="1"/>
    <row r="122" outlineLevel="1"/>
    <row r="123" outlineLevel="1"/>
    <row r="124" outlineLevel="1"/>
    <row r="126" outlineLevel="1"/>
    <row r="127" outlineLevel="1"/>
    <row r="128" outlineLevel="1"/>
    <row r="129" outlineLevel="1"/>
    <row r="130" outlineLevel="1"/>
    <row r="132" outlineLevel="1"/>
    <row r="133" outlineLevel="1"/>
    <row r="134" outlineLevel="1"/>
    <row r="135" outlineLevel="1"/>
    <row r="136" outlineLevel="1"/>
    <row r="138" outlineLevel="1"/>
    <row r="139" outlineLevel="1"/>
    <row r="140" outlineLevel="1"/>
    <row r="141" outlineLevel="1"/>
    <row r="142" outlineLevel="1"/>
    <row r="144" outlineLevel="1"/>
    <row r="145" outlineLevel="1"/>
    <row r="146" outlineLevel="1"/>
    <row r="147" outlineLevel="1"/>
    <row r="148" outlineLevel="1"/>
    <row r="150" outlineLevel="1"/>
    <row r="151" outlineLevel="1"/>
    <row r="152" outlineLevel="1"/>
    <row r="153" outlineLevel="1"/>
    <row r="154" outlineLevel="1"/>
    <row r="156" outlineLevel="1"/>
    <row r="157" outlineLevel="1"/>
    <row r="158" outlineLevel="1"/>
    <row r="159" outlineLevel="1"/>
    <row r="160" outlineLevel="1"/>
    <row r="162" outlineLevel="1"/>
    <row r="163" outlineLevel="1"/>
    <row r="164" outlineLevel="1"/>
    <row r="165" outlineLevel="1"/>
    <row r="166" outlineLevel="1"/>
    <row r="168" outlineLevel="1"/>
    <row r="169" outlineLevel="1"/>
    <row r="170" outlineLevel="1"/>
    <row r="171" outlineLevel="1"/>
    <row r="172" outlineLevel="1"/>
    <row r="174" outlineLevel="1"/>
    <row r="175" outlineLevel="1"/>
    <row r="176" outlineLevel="1"/>
    <row r="177" outlineLevel="1"/>
    <row r="178" outlineLevel="1"/>
    <row r="180" outlineLevel="1"/>
    <row r="181" outlineLevel="1"/>
    <row r="182" outlineLevel="1"/>
    <row r="183" outlineLevel="1"/>
    <row r="184" outlineLevel="1"/>
    <row r="186" outlineLevel="1"/>
    <row r="187" outlineLevel="1"/>
    <row r="188" outlineLevel="1"/>
    <row r="189" outlineLevel="1"/>
    <row r="190" outlineLevel="1"/>
    <row r="192" outlineLevel="1"/>
    <row r="193" outlineLevel="1"/>
    <row r="194" outlineLevel="1"/>
    <row r="195" outlineLevel="1"/>
    <row r="196" outlineLevel="1"/>
    <row r="198" outlineLevel="1"/>
    <row r="199" outlineLevel="1"/>
    <row r="200" outlineLevel="1"/>
    <row r="201" outlineLevel="1"/>
    <row r="202" outlineLevel="1"/>
    <row r="204" outlineLevel="1"/>
    <row r="205" outlineLevel="1"/>
    <row r="206" outlineLevel="1"/>
    <row r="207" outlineLevel="1"/>
    <row r="208" outlineLevel="1"/>
    <row r="210" outlineLevel="1"/>
    <row r="211" outlineLevel="1"/>
    <row r="212" outlineLevel="1"/>
    <row r="213" outlineLevel="1"/>
    <row r="214" outlineLevel="1"/>
    <row r="216" outlineLevel="1"/>
    <row r="217" outlineLevel="1"/>
    <row r="218" outlineLevel="1"/>
    <row r="219" outlineLevel="1"/>
    <row r="220" outlineLevel="1"/>
    <row r="222" outlineLevel="1"/>
    <row r="223" outlineLevel="1"/>
    <row r="224" outlineLevel="1"/>
    <row r="225" outlineLevel="1"/>
    <row r="226" outlineLevel="1"/>
    <row r="228" outlineLevel="1"/>
    <row r="229" outlineLevel="1"/>
    <row r="230" outlineLevel="1"/>
    <row r="231" outlineLevel="1"/>
    <row r="232" outlineLevel="1"/>
    <row r="234" outlineLevel="1"/>
    <row r="235" outlineLevel="1"/>
    <row r="236" outlineLevel="1"/>
    <row r="237" outlineLevel="1"/>
    <row r="238" outlineLevel="1"/>
    <row r="240" outlineLevel="1"/>
    <row r="241" outlineLevel="1"/>
    <row r="242" outlineLevel="1"/>
    <row r="243" outlineLevel="1"/>
    <row r="244" outlineLevel="1"/>
    <row r="246" outlineLevel="1"/>
    <row r="247" outlineLevel="1"/>
    <row r="248" outlineLevel="1"/>
    <row r="249" outlineLevel="1"/>
    <row r="250" outlineLevel="1"/>
    <row r="252" outlineLevel="1"/>
    <row r="253" outlineLevel="1"/>
    <row r="254" outlineLevel="1"/>
    <row r="255" outlineLevel="1"/>
    <row r="256" outlineLevel="1"/>
    <row r="262" hidden="1" outlineLevel="2"/>
    <row r="263" hidden="1" outlineLevel="2"/>
    <row r="264" hidden="1" outlineLevel="2"/>
    <row r="265" outlineLevel="2" collapsed="1"/>
  </sheetData>
  <mergeCells count="17">
    <mergeCell ref="F2:F3"/>
    <mergeCell ref="A1:G1"/>
    <mergeCell ref="I1:AB1"/>
    <mergeCell ref="I2:L2"/>
    <mergeCell ref="O2:R2"/>
    <mergeCell ref="S2:T2"/>
    <mergeCell ref="A2:A3"/>
    <mergeCell ref="U2:X2"/>
    <mergeCell ref="Y2:Z2"/>
    <mergeCell ref="AA2:AB2"/>
    <mergeCell ref="G2:G3"/>
    <mergeCell ref="M2:M3"/>
    <mergeCell ref="N2:N3"/>
    <mergeCell ref="B2:B3"/>
    <mergeCell ref="C2:C3"/>
    <mergeCell ref="D2:D3"/>
    <mergeCell ref="E2:E3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439"/>
  <sheetViews>
    <sheetView topLeftCell="A136" zoomScale="120" zoomScaleNormal="120" workbookViewId="0">
      <selection activeCell="A162" sqref="A162"/>
    </sheetView>
  </sheetViews>
  <sheetFormatPr baseColWidth="10" defaultColWidth="8.83203125" defaultRowHeight="14"/>
  <cols>
    <col min="1" max="1" width="50" customWidth="1"/>
    <col min="2" max="2" width="32.83203125" customWidth="1"/>
  </cols>
  <sheetData>
    <row r="1" spans="1:2">
      <c r="A1" t="s">
        <v>105</v>
      </c>
      <c r="B1">
        <v>1</v>
      </c>
    </row>
    <row r="2" spans="1:2">
      <c r="A2" t="s">
        <v>106</v>
      </c>
      <c r="B2">
        <v>2</v>
      </c>
    </row>
    <row r="3" spans="1:2">
      <c r="A3" t="s">
        <v>107</v>
      </c>
      <c r="B3">
        <v>3</v>
      </c>
    </row>
    <row r="4" spans="1:2">
      <c r="A4" t="s">
        <v>108</v>
      </c>
      <c r="B4">
        <v>4</v>
      </c>
    </row>
    <row r="5" spans="1:2">
      <c r="A5" t="s">
        <v>109</v>
      </c>
      <c r="B5">
        <v>5</v>
      </c>
    </row>
    <row r="6" spans="1:2">
      <c r="A6" t="s">
        <v>110</v>
      </c>
      <c r="B6">
        <v>6</v>
      </c>
    </row>
    <row r="7" spans="1:2">
      <c r="A7" t="s">
        <v>111</v>
      </c>
      <c r="B7">
        <v>7</v>
      </c>
    </row>
    <row r="8" spans="1:2">
      <c r="A8" t="s">
        <v>112</v>
      </c>
      <c r="B8">
        <v>9</v>
      </c>
    </row>
    <row r="9" spans="1:2">
      <c r="A9" t="s">
        <v>113</v>
      </c>
      <c r="B9">
        <v>10</v>
      </c>
    </row>
    <row r="10" spans="1:2">
      <c r="A10" t="s">
        <v>114</v>
      </c>
      <c r="B10">
        <v>11</v>
      </c>
    </row>
    <row r="11" spans="1:2">
      <c r="A11" t="s">
        <v>115</v>
      </c>
      <c r="B11">
        <v>12</v>
      </c>
    </row>
    <row r="12" spans="1:2">
      <c r="A12" t="s">
        <v>116</v>
      </c>
      <c r="B12">
        <v>13</v>
      </c>
    </row>
    <row r="13" spans="1:2">
      <c r="A13" t="s">
        <v>117</v>
      </c>
      <c r="B13">
        <v>14</v>
      </c>
    </row>
    <row r="14" spans="1:2">
      <c r="A14" t="s">
        <v>118</v>
      </c>
      <c r="B14">
        <v>15</v>
      </c>
    </row>
    <row r="15" spans="1:2">
      <c r="A15" t="s">
        <v>119</v>
      </c>
      <c r="B15">
        <v>16</v>
      </c>
    </row>
    <row r="16" spans="1:2">
      <c r="A16" t="s">
        <v>120</v>
      </c>
      <c r="B16">
        <v>17</v>
      </c>
    </row>
    <row r="17" spans="1:2">
      <c r="A17" t="s">
        <v>121</v>
      </c>
      <c r="B17">
        <v>18</v>
      </c>
    </row>
    <row r="18" spans="1:2">
      <c r="A18" t="s">
        <v>122</v>
      </c>
      <c r="B18">
        <v>19</v>
      </c>
    </row>
    <row r="19" spans="1:2">
      <c r="A19" t="s">
        <v>123</v>
      </c>
      <c r="B19">
        <v>20</v>
      </c>
    </row>
    <row r="20" spans="1:2">
      <c r="A20" t="s">
        <v>124</v>
      </c>
      <c r="B20">
        <v>21</v>
      </c>
    </row>
    <row r="21" spans="1:2">
      <c r="A21" t="s">
        <v>125</v>
      </c>
      <c r="B21">
        <v>22</v>
      </c>
    </row>
    <row r="22" spans="1:2">
      <c r="A22" t="s">
        <v>126</v>
      </c>
      <c r="B22">
        <v>23</v>
      </c>
    </row>
    <row r="23" spans="1:2">
      <c r="A23" t="s">
        <v>127</v>
      </c>
      <c r="B23">
        <v>24</v>
      </c>
    </row>
    <row r="24" spans="1:2">
      <c r="A24" s="1" t="s">
        <v>128</v>
      </c>
      <c r="B24" s="1">
        <v>25</v>
      </c>
    </row>
    <row r="25" spans="1:2">
      <c r="A25" s="1" t="s">
        <v>129</v>
      </c>
      <c r="B25" s="1">
        <v>26</v>
      </c>
    </row>
    <row r="26" spans="1:2">
      <c r="A26" s="1" t="s">
        <v>130</v>
      </c>
      <c r="B26" s="1">
        <v>27</v>
      </c>
    </row>
    <row r="27" spans="1:2">
      <c r="A27" s="1" t="s">
        <v>130</v>
      </c>
      <c r="B27" s="1">
        <v>28</v>
      </c>
    </row>
    <row r="28" spans="1:2">
      <c r="A28" t="s">
        <v>131</v>
      </c>
      <c r="B28">
        <v>30</v>
      </c>
    </row>
    <row r="29" spans="1:2">
      <c r="A29" t="s">
        <v>132</v>
      </c>
      <c r="B29">
        <v>31</v>
      </c>
    </row>
    <row r="30" spans="1:2">
      <c r="A30" t="s">
        <v>133</v>
      </c>
      <c r="B30">
        <v>32</v>
      </c>
    </row>
    <row r="31" spans="1:2">
      <c r="A31" t="s">
        <v>134</v>
      </c>
      <c r="B31">
        <v>33</v>
      </c>
    </row>
    <row r="32" spans="1:2">
      <c r="A32" t="s">
        <v>135</v>
      </c>
      <c r="B32">
        <v>34</v>
      </c>
    </row>
    <row r="33" spans="1:2">
      <c r="A33" t="s">
        <v>136</v>
      </c>
      <c r="B33">
        <v>35</v>
      </c>
    </row>
    <row r="34" spans="1:2">
      <c r="A34" t="s">
        <v>137</v>
      </c>
      <c r="B34">
        <v>36</v>
      </c>
    </row>
    <row r="35" spans="1:2">
      <c r="A35" t="s">
        <v>138</v>
      </c>
      <c r="B35">
        <v>37</v>
      </c>
    </row>
    <row r="36" spans="1:2">
      <c r="A36" t="s">
        <v>139</v>
      </c>
      <c r="B36">
        <v>38</v>
      </c>
    </row>
    <row r="37" spans="1:2">
      <c r="A37" t="s">
        <v>140</v>
      </c>
      <c r="B37">
        <v>39</v>
      </c>
    </row>
    <row r="38" spans="1:2">
      <c r="A38" t="s">
        <v>141</v>
      </c>
      <c r="B38">
        <v>40</v>
      </c>
    </row>
    <row r="39" spans="1:2">
      <c r="A39" t="s">
        <v>142</v>
      </c>
      <c r="B39">
        <v>41</v>
      </c>
    </row>
    <row r="40" spans="1:2">
      <c r="A40" t="s">
        <v>143</v>
      </c>
      <c r="B40">
        <v>42</v>
      </c>
    </row>
    <row r="41" spans="1:2">
      <c r="A41" t="s">
        <v>144</v>
      </c>
      <c r="B41">
        <v>43</v>
      </c>
    </row>
    <row r="42" spans="1:2">
      <c r="A42" t="s">
        <v>145</v>
      </c>
      <c r="B42">
        <v>44</v>
      </c>
    </row>
    <row r="43" spans="1:2">
      <c r="A43" t="s">
        <v>146</v>
      </c>
      <c r="B43">
        <v>45</v>
      </c>
    </row>
    <row r="44" spans="1:2">
      <c r="A44" s="1" t="s">
        <v>147</v>
      </c>
      <c r="B44" s="1">
        <v>46</v>
      </c>
    </row>
    <row r="45" spans="1:2">
      <c r="A45" s="1" t="s">
        <v>148</v>
      </c>
      <c r="B45" s="1">
        <v>47</v>
      </c>
    </row>
    <row r="46" spans="1:2">
      <c r="A46" s="1" t="s">
        <v>149</v>
      </c>
      <c r="B46" s="1">
        <v>48</v>
      </c>
    </row>
    <row r="47" spans="1:2">
      <c r="A47" s="1" t="s">
        <v>150</v>
      </c>
      <c r="B47" s="1">
        <v>49</v>
      </c>
    </row>
    <row r="48" spans="1:2">
      <c r="A48" t="s">
        <v>151</v>
      </c>
      <c r="B48">
        <v>51</v>
      </c>
    </row>
    <row r="49" spans="1:2">
      <c r="A49" t="s">
        <v>152</v>
      </c>
      <c r="B49">
        <v>52</v>
      </c>
    </row>
    <row r="50" spans="1:2">
      <c r="A50" t="s">
        <v>153</v>
      </c>
      <c r="B50">
        <v>54</v>
      </c>
    </row>
    <row r="51" spans="1:2">
      <c r="A51" t="s">
        <v>154</v>
      </c>
      <c r="B51">
        <v>55</v>
      </c>
    </row>
    <row r="52" spans="1:2">
      <c r="A52" t="s">
        <v>155</v>
      </c>
      <c r="B52">
        <v>56</v>
      </c>
    </row>
    <row r="53" spans="1:2">
      <c r="A53" t="s">
        <v>156</v>
      </c>
      <c r="B53">
        <v>57</v>
      </c>
    </row>
    <row r="54" spans="1:2">
      <c r="A54" t="s">
        <v>157</v>
      </c>
      <c r="B54">
        <v>58</v>
      </c>
    </row>
    <row r="55" spans="1:2">
      <c r="A55" t="s">
        <v>158</v>
      </c>
      <c r="B55">
        <v>59</v>
      </c>
    </row>
    <row r="56" spans="1:2">
      <c r="A56" t="s">
        <v>159</v>
      </c>
      <c r="B56">
        <v>61</v>
      </c>
    </row>
    <row r="57" spans="1:2">
      <c r="A57" t="s">
        <v>160</v>
      </c>
      <c r="B57">
        <v>62</v>
      </c>
    </row>
    <row r="58" spans="1:2">
      <c r="A58" t="s">
        <v>161</v>
      </c>
      <c r="B58">
        <v>63</v>
      </c>
    </row>
    <row r="59" spans="1:2">
      <c r="A59" t="s">
        <v>162</v>
      </c>
      <c r="B59">
        <v>64</v>
      </c>
    </row>
    <row r="60" spans="1:2">
      <c r="A60" t="s">
        <v>163</v>
      </c>
      <c r="B60">
        <v>65</v>
      </c>
    </row>
    <row r="61" spans="1:2">
      <c r="A61" t="s">
        <v>164</v>
      </c>
      <c r="B61">
        <v>66</v>
      </c>
    </row>
    <row r="62" spans="1:2">
      <c r="A62" t="s">
        <v>165</v>
      </c>
      <c r="B62" s="39" t="s">
        <v>166</v>
      </c>
    </row>
    <row r="63" spans="1:2">
      <c r="A63" t="s">
        <v>167</v>
      </c>
      <c r="B63" s="39" t="s">
        <v>168</v>
      </c>
    </row>
    <row r="64" spans="1:2">
      <c r="A64" t="s">
        <v>169</v>
      </c>
      <c r="B64" s="39" t="s">
        <v>170</v>
      </c>
    </row>
    <row r="65" spans="1:2">
      <c r="A65" t="s">
        <v>171</v>
      </c>
      <c r="B65" s="39" t="s">
        <v>172</v>
      </c>
    </row>
    <row r="66" spans="1:2">
      <c r="A66" t="s">
        <v>173</v>
      </c>
      <c r="B66" s="39" t="s">
        <v>174</v>
      </c>
    </row>
    <row r="67" spans="1:2">
      <c r="A67" t="s">
        <v>175</v>
      </c>
      <c r="B67" s="39" t="s">
        <v>176</v>
      </c>
    </row>
    <row r="68" spans="1:2">
      <c r="A68" t="s">
        <v>177</v>
      </c>
      <c r="B68" s="39" t="s">
        <v>178</v>
      </c>
    </row>
    <row r="69" spans="1:2">
      <c r="A69" t="s">
        <v>179</v>
      </c>
      <c r="B69" s="39" t="s">
        <v>180</v>
      </c>
    </row>
    <row r="70" spans="1:2">
      <c r="A70" t="s">
        <v>181</v>
      </c>
      <c r="B70" s="39" t="s">
        <v>182</v>
      </c>
    </row>
    <row r="71" spans="1:2">
      <c r="A71" t="s">
        <v>183</v>
      </c>
      <c r="B71" s="39" t="s">
        <v>184</v>
      </c>
    </row>
    <row r="72" spans="1:2">
      <c r="A72" t="s">
        <v>185</v>
      </c>
      <c r="B72" s="39" t="s">
        <v>186</v>
      </c>
    </row>
    <row r="73" spans="1:2">
      <c r="A73" t="s">
        <v>187</v>
      </c>
      <c r="B73" s="39" t="s">
        <v>188</v>
      </c>
    </row>
    <row r="74" spans="1:2">
      <c r="A74" t="s">
        <v>189</v>
      </c>
      <c r="B74" s="39" t="s">
        <v>190</v>
      </c>
    </row>
    <row r="75" spans="1:2">
      <c r="A75" t="s">
        <v>191</v>
      </c>
      <c r="B75" s="39" t="s">
        <v>192</v>
      </c>
    </row>
    <row r="76" spans="1:2">
      <c r="A76" t="s">
        <v>193</v>
      </c>
      <c r="B76" s="39" t="s">
        <v>194</v>
      </c>
    </row>
    <row r="77" spans="1:2">
      <c r="A77" t="s">
        <v>195</v>
      </c>
      <c r="B77" s="39" t="s">
        <v>196</v>
      </c>
    </row>
    <row r="78" spans="1:2">
      <c r="A78" t="s">
        <v>197</v>
      </c>
      <c r="B78" s="39" t="s">
        <v>198</v>
      </c>
    </row>
    <row r="79" spans="1:2">
      <c r="A79" t="s">
        <v>199</v>
      </c>
      <c r="B79" s="39" t="s">
        <v>200</v>
      </c>
    </row>
    <row r="80" spans="1:2">
      <c r="A80" t="s">
        <v>201</v>
      </c>
      <c r="B80" s="39" t="s">
        <v>202</v>
      </c>
    </row>
    <row r="81" spans="1:21">
      <c r="A81" t="s">
        <v>203</v>
      </c>
      <c r="B81" s="39" t="s">
        <v>204</v>
      </c>
    </row>
    <row r="82" spans="1:21">
      <c r="A82" t="s">
        <v>205</v>
      </c>
      <c r="B82" s="39" t="s">
        <v>206</v>
      </c>
    </row>
    <row r="83" spans="1:21">
      <c r="A83" t="s">
        <v>207</v>
      </c>
      <c r="B83" s="39" t="s">
        <v>208</v>
      </c>
    </row>
    <row r="84" spans="1:21">
      <c r="A84" t="s">
        <v>209</v>
      </c>
      <c r="B84" s="39" t="s">
        <v>210</v>
      </c>
    </row>
    <row r="85" spans="1:21">
      <c r="A85" t="s">
        <v>211</v>
      </c>
      <c r="B85" s="39" t="s">
        <v>212</v>
      </c>
    </row>
    <row r="86" spans="1:21">
      <c r="A86" t="s">
        <v>213</v>
      </c>
      <c r="B86" s="39" t="s">
        <v>214</v>
      </c>
    </row>
    <row r="87" spans="1:21">
      <c r="A87" t="s">
        <v>215</v>
      </c>
      <c r="B87" s="39" t="s">
        <v>216</v>
      </c>
    </row>
    <row r="88" spans="1:21">
      <c r="A88" t="s">
        <v>217</v>
      </c>
      <c r="B88" t="s">
        <v>40</v>
      </c>
      <c r="C88" t="s">
        <v>1</v>
      </c>
      <c r="D88" t="s">
        <v>24</v>
      </c>
      <c r="E88" t="s">
        <v>2</v>
      </c>
      <c r="F88" t="s">
        <v>9</v>
      </c>
      <c r="G88" t="s">
        <v>5</v>
      </c>
      <c r="H88" t="s">
        <v>37</v>
      </c>
      <c r="I88" t="s">
        <v>22</v>
      </c>
      <c r="J88" t="s">
        <v>16</v>
      </c>
      <c r="K88" t="s">
        <v>26</v>
      </c>
      <c r="L88" t="s">
        <v>7</v>
      </c>
      <c r="M88" t="s">
        <v>10</v>
      </c>
      <c r="N88" t="s">
        <v>28</v>
      </c>
      <c r="O88" t="s">
        <v>13</v>
      </c>
      <c r="P88" t="s">
        <v>4</v>
      </c>
      <c r="Q88" t="s">
        <v>18</v>
      </c>
      <c r="R88" t="s">
        <v>20</v>
      </c>
      <c r="S88" t="s">
        <v>30</v>
      </c>
      <c r="T88" t="s">
        <v>32</v>
      </c>
      <c r="U88" t="s">
        <v>9</v>
      </c>
    </row>
    <row r="89" spans="1:21">
      <c r="A89" t="s">
        <v>218</v>
      </c>
      <c r="B89">
        <v>1</v>
      </c>
    </row>
    <row r="90" spans="1:21">
      <c r="A90" t="s">
        <v>219</v>
      </c>
      <c r="B90">
        <v>2</v>
      </c>
    </row>
    <row r="91" spans="1:21">
      <c r="A91" t="s">
        <v>220</v>
      </c>
      <c r="B91">
        <v>3</v>
      </c>
    </row>
    <row r="92" spans="1:21">
      <c r="A92" t="s">
        <v>221</v>
      </c>
      <c r="B92">
        <v>4</v>
      </c>
    </row>
    <row r="93" spans="1:21">
      <c r="A93" t="s">
        <v>222</v>
      </c>
      <c r="B93">
        <v>5</v>
      </c>
    </row>
    <row r="94" spans="1:21">
      <c r="A94" t="s">
        <v>223</v>
      </c>
      <c r="B94">
        <v>6</v>
      </c>
    </row>
    <row r="95" spans="1:21">
      <c r="A95" t="s">
        <v>224</v>
      </c>
      <c r="B95">
        <v>7</v>
      </c>
    </row>
    <row r="96" spans="1:21">
      <c r="A96" t="s">
        <v>225</v>
      </c>
      <c r="B96">
        <v>9</v>
      </c>
    </row>
    <row r="97" spans="1:2">
      <c r="A97" t="s">
        <v>226</v>
      </c>
      <c r="B97">
        <v>10</v>
      </c>
    </row>
    <row r="98" spans="1:2">
      <c r="A98" t="s">
        <v>227</v>
      </c>
      <c r="B98">
        <v>11</v>
      </c>
    </row>
    <row r="99" spans="1:2">
      <c r="A99" t="s">
        <v>228</v>
      </c>
      <c r="B99">
        <v>12</v>
      </c>
    </row>
    <row r="100" spans="1:2">
      <c r="A100" t="s">
        <v>229</v>
      </c>
      <c r="B100">
        <v>13</v>
      </c>
    </row>
    <row r="101" spans="1:2">
      <c r="A101" t="s">
        <v>230</v>
      </c>
      <c r="B101">
        <v>14</v>
      </c>
    </row>
    <row r="102" spans="1:2">
      <c r="A102" t="s">
        <v>231</v>
      </c>
      <c r="B102">
        <v>15</v>
      </c>
    </row>
    <row r="103" spans="1:2">
      <c r="A103" t="s">
        <v>232</v>
      </c>
      <c r="B103">
        <v>16</v>
      </c>
    </row>
    <row r="104" spans="1:2">
      <c r="A104" t="s">
        <v>233</v>
      </c>
      <c r="B104">
        <v>17</v>
      </c>
    </row>
    <row r="105" spans="1:2">
      <c r="A105" t="s">
        <v>234</v>
      </c>
      <c r="B105">
        <v>18</v>
      </c>
    </row>
    <row r="106" spans="1:2">
      <c r="A106" t="s">
        <v>235</v>
      </c>
      <c r="B106">
        <v>19</v>
      </c>
    </row>
    <row r="107" spans="1:2">
      <c r="A107" t="s">
        <v>236</v>
      </c>
      <c r="B107">
        <v>20</v>
      </c>
    </row>
    <row r="108" spans="1:2">
      <c r="A108" t="s">
        <v>237</v>
      </c>
      <c r="B108">
        <v>21</v>
      </c>
    </row>
    <row r="109" spans="1:2">
      <c r="A109" t="s">
        <v>238</v>
      </c>
      <c r="B109">
        <v>22</v>
      </c>
    </row>
    <row r="110" spans="1:2">
      <c r="A110" t="s">
        <v>239</v>
      </c>
      <c r="B110">
        <v>23</v>
      </c>
    </row>
    <row r="111" spans="1:2">
      <c r="A111" t="s">
        <v>240</v>
      </c>
      <c r="B111">
        <v>24</v>
      </c>
    </row>
    <row r="112" spans="1:2">
      <c r="A112" s="1" t="s">
        <v>241</v>
      </c>
      <c r="B112" s="1">
        <v>25</v>
      </c>
    </row>
    <row r="113" spans="1:2">
      <c r="A113" s="1" t="s">
        <v>242</v>
      </c>
      <c r="B113" s="1">
        <v>26</v>
      </c>
    </row>
    <row r="114" spans="1:2">
      <c r="A114" s="1" t="s">
        <v>243</v>
      </c>
      <c r="B114" s="1">
        <v>27</v>
      </c>
    </row>
    <row r="115" spans="1:2">
      <c r="A115" s="1" t="s">
        <v>243</v>
      </c>
      <c r="B115" s="1">
        <v>28</v>
      </c>
    </row>
    <row r="116" spans="1:2">
      <c r="A116" t="s">
        <v>244</v>
      </c>
      <c r="B116">
        <v>30</v>
      </c>
    </row>
    <row r="117" spans="1:2">
      <c r="A117" t="s">
        <v>245</v>
      </c>
      <c r="B117">
        <v>31</v>
      </c>
    </row>
    <row r="118" spans="1:2">
      <c r="A118" t="s">
        <v>246</v>
      </c>
      <c r="B118">
        <v>32</v>
      </c>
    </row>
    <row r="119" spans="1:2">
      <c r="A119" t="s">
        <v>247</v>
      </c>
      <c r="B119">
        <v>33</v>
      </c>
    </row>
    <row r="120" spans="1:2">
      <c r="A120" t="s">
        <v>248</v>
      </c>
      <c r="B120">
        <v>34</v>
      </c>
    </row>
    <row r="121" spans="1:2">
      <c r="A121" t="s">
        <v>249</v>
      </c>
      <c r="B121">
        <v>35</v>
      </c>
    </row>
    <row r="122" spans="1:2">
      <c r="A122" t="s">
        <v>250</v>
      </c>
      <c r="B122">
        <v>36</v>
      </c>
    </row>
    <row r="123" spans="1:2">
      <c r="A123" t="s">
        <v>251</v>
      </c>
      <c r="B123">
        <v>37</v>
      </c>
    </row>
    <row r="124" spans="1:2">
      <c r="A124" t="s">
        <v>252</v>
      </c>
      <c r="B124">
        <v>38</v>
      </c>
    </row>
    <row r="125" spans="1:2">
      <c r="A125" t="s">
        <v>253</v>
      </c>
      <c r="B125">
        <v>39</v>
      </c>
    </row>
    <row r="126" spans="1:2">
      <c r="A126" t="s">
        <v>254</v>
      </c>
      <c r="B126">
        <v>40</v>
      </c>
    </row>
    <row r="127" spans="1:2">
      <c r="A127" t="s">
        <v>255</v>
      </c>
      <c r="B127">
        <v>41</v>
      </c>
    </row>
    <row r="128" spans="1:2">
      <c r="A128" t="s">
        <v>256</v>
      </c>
      <c r="B128">
        <v>42</v>
      </c>
    </row>
    <row r="129" spans="1:2">
      <c r="A129" t="s">
        <v>257</v>
      </c>
      <c r="B129">
        <v>43</v>
      </c>
    </row>
    <row r="130" spans="1:2">
      <c r="A130" t="s">
        <v>258</v>
      </c>
      <c r="B130">
        <v>44</v>
      </c>
    </row>
    <row r="131" spans="1:2">
      <c r="A131" t="s">
        <v>259</v>
      </c>
      <c r="B131">
        <v>45</v>
      </c>
    </row>
    <row r="132" spans="1:2">
      <c r="A132" s="1" t="s">
        <v>260</v>
      </c>
      <c r="B132" s="1">
        <v>46</v>
      </c>
    </row>
    <row r="133" spans="1:2">
      <c r="A133" s="1" t="s">
        <v>261</v>
      </c>
      <c r="B133" s="1">
        <v>47</v>
      </c>
    </row>
    <row r="134" spans="1:2">
      <c r="A134" s="1" t="s">
        <v>262</v>
      </c>
      <c r="B134" s="1">
        <v>48</v>
      </c>
    </row>
    <row r="135" spans="1:2">
      <c r="A135" s="1" t="s">
        <v>263</v>
      </c>
      <c r="B135" s="1">
        <v>49</v>
      </c>
    </row>
    <row r="136" spans="1:2">
      <c r="A136" t="s">
        <v>264</v>
      </c>
      <c r="B136">
        <v>51</v>
      </c>
    </row>
    <row r="137" spans="1:2">
      <c r="A137" t="s">
        <v>265</v>
      </c>
      <c r="B137">
        <v>52</v>
      </c>
    </row>
    <row r="138" spans="1:2">
      <c r="A138" t="s">
        <v>266</v>
      </c>
      <c r="B138">
        <v>54</v>
      </c>
    </row>
    <row r="139" spans="1:2">
      <c r="A139" t="s">
        <v>267</v>
      </c>
      <c r="B139">
        <v>55</v>
      </c>
    </row>
    <row r="140" spans="1:2">
      <c r="A140" t="s">
        <v>268</v>
      </c>
      <c r="B140">
        <v>56</v>
      </c>
    </row>
    <row r="141" spans="1:2">
      <c r="A141" t="s">
        <v>269</v>
      </c>
      <c r="B141">
        <v>57</v>
      </c>
    </row>
    <row r="142" spans="1:2">
      <c r="A142" t="s">
        <v>270</v>
      </c>
      <c r="B142">
        <v>58</v>
      </c>
    </row>
    <row r="143" spans="1:2">
      <c r="A143" t="s">
        <v>271</v>
      </c>
      <c r="B143">
        <v>59</v>
      </c>
    </row>
    <row r="144" spans="1:2">
      <c r="A144" t="s">
        <v>272</v>
      </c>
      <c r="B144">
        <v>61</v>
      </c>
    </row>
    <row r="145" spans="1:2">
      <c r="A145" t="s">
        <v>273</v>
      </c>
      <c r="B145">
        <v>62</v>
      </c>
    </row>
    <row r="146" spans="1:2">
      <c r="A146" t="s">
        <v>274</v>
      </c>
      <c r="B146">
        <v>63</v>
      </c>
    </row>
    <row r="147" spans="1:2">
      <c r="A147" t="s">
        <v>275</v>
      </c>
      <c r="B147">
        <v>64</v>
      </c>
    </row>
    <row r="148" spans="1:2">
      <c r="A148" t="s">
        <v>276</v>
      </c>
      <c r="B148">
        <v>65</v>
      </c>
    </row>
    <row r="149" spans="1:2">
      <c r="A149" t="s">
        <v>277</v>
      </c>
      <c r="B149">
        <v>66</v>
      </c>
    </row>
    <row r="150" spans="1:2">
      <c r="A150" t="s">
        <v>278</v>
      </c>
      <c r="B150" s="39" t="s">
        <v>279</v>
      </c>
    </row>
    <row r="151" spans="1:2">
      <c r="A151" t="s">
        <v>280</v>
      </c>
      <c r="B151" s="39" t="s">
        <v>281</v>
      </c>
    </row>
    <row r="152" spans="1:2">
      <c r="A152" t="s">
        <v>282</v>
      </c>
      <c r="B152" s="39" t="s">
        <v>283</v>
      </c>
    </row>
    <row r="153" spans="1:2">
      <c r="A153" t="s">
        <v>284</v>
      </c>
      <c r="B153" s="39" t="s">
        <v>285</v>
      </c>
    </row>
    <row r="154" spans="1:2">
      <c r="A154" t="s">
        <v>286</v>
      </c>
      <c r="B154" s="39" t="s">
        <v>287</v>
      </c>
    </row>
    <row r="155" spans="1:2">
      <c r="A155" t="s">
        <v>288</v>
      </c>
      <c r="B155" s="39" t="s">
        <v>289</v>
      </c>
    </row>
    <row r="156" spans="1:2">
      <c r="A156" t="s">
        <v>290</v>
      </c>
      <c r="B156" s="39" t="s">
        <v>291</v>
      </c>
    </row>
    <row r="157" spans="1:2">
      <c r="A157" t="s">
        <v>292</v>
      </c>
      <c r="B157" s="39" t="s">
        <v>293</v>
      </c>
    </row>
    <row r="158" spans="1:2">
      <c r="A158" t="s">
        <v>294</v>
      </c>
      <c r="B158" s="39" t="s">
        <v>295</v>
      </c>
    </row>
    <row r="159" spans="1:2">
      <c r="A159" t="s">
        <v>296</v>
      </c>
      <c r="B159" s="39" t="s">
        <v>297</v>
      </c>
    </row>
    <row r="160" spans="1:2">
      <c r="A160" t="s">
        <v>298</v>
      </c>
      <c r="B160" s="39" t="s">
        <v>299</v>
      </c>
    </row>
    <row r="161" spans="1:21">
      <c r="A161" t="s">
        <v>300</v>
      </c>
      <c r="B161" s="39" t="s">
        <v>301</v>
      </c>
    </row>
    <row r="162" spans="1:21">
      <c r="A162" t="s">
        <v>302</v>
      </c>
      <c r="B162" s="39" t="s">
        <v>303</v>
      </c>
    </row>
    <row r="163" spans="1:21">
      <c r="A163" t="s">
        <v>304</v>
      </c>
      <c r="B163" s="39" t="s">
        <v>305</v>
      </c>
    </row>
    <row r="164" spans="1:21">
      <c r="A164" t="s">
        <v>306</v>
      </c>
      <c r="B164" s="39" t="s">
        <v>307</v>
      </c>
    </row>
    <row r="165" spans="1:21">
      <c r="A165" t="s">
        <v>308</v>
      </c>
      <c r="B165" s="39" t="s">
        <v>309</v>
      </c>
    </row>
    <row r="166" spans="1:21">
      <c r="A166" t="s">
        <v>310</v>
      </c>
      <c r="B166" s="39" t="s">
        <v>311</v>
      </c>
    </row>
    <row r="167" spans="1:21">
      <c r="A167" t="s">
        <v>312</v>
      </c>
      <c r="B167" s="39" t="s">
        <v>313</v>
      </c>
    </row>
    <row r="168" spans="1:21">
      <c r="A168" t="s">
        <v>314</v>
      </c>
      <c r="B168" s="39" t="s">
        <v>315</v>
      </c>
    </row>
    <row r="169" spans="1:21">
      <c r="A169" t="s">
        <v>316</v>
      </c>
      <c r="B169" s="39" t="s">
        <v>317</v>
      </c>
    </row>
    <row r="170" spans="1:21">
      <c r="A170" t="s">
        <v>318</v>
      </c>
      <c r="B170" s="39" t="s">
        <v>319</v>
      </c>
    </row>
    <row r="171" spans="1:21">
      <c r="A171" t="s">
        <v>320</v>
      </c>
      <c r="B171" s="39" t="s">
        <v>321</v>
      </c>
    </row>
    <row r="172" spans="1:21">
      <c r="A172" t="s">
        <v>322</v>
      </c>
      <c r="B172" s="39" t="s">
        <v>323</v>
      </c>
    </row>
    <row r="173" spans="1:21">
      <c r="A173" t="s">
        <v>324</v>
      </c>
      <c r="B173" s="39" t="s">
        <v>325</v>
      </c>
    </row>
    <row r="174" spans="1:21">
      <c r="A174" t="s">
        <v>326</v>
      </c>
      <c r="B174" s="39" t="s">
        <v>327</v>
      </c>
    </row>
    <row r="175" spans="1:21">
      <c r="A175" t="s">
        <v>328</v>
      </c>
      <c r="B175" s="39" t="s">
        <v>329</v>
      </c>
    </row>
    <row r="176" spans="1:21">
      <c r="A176" t="s">
        <v>330</v>
      </c>
      <c r="B176" t="s">
        <v>40</v>
      </c>
      <c r="C176" t="s">
        <v>1</v>
      </c>
      <c r="D176" t="s">
        <v>24</v>
      </c>
      <c r="E176" t="s">
        <v>2</v>
      </c>
      <c r="F176" t="s">
        <v>9</v>
      </c>
      <c r="G176" t="s">
        <v>5</v>
      </c>
      <c r="H176" t="s">
        <v>37</v>
      </c>
      <c r="I176" t="s">
        <v>22</v>
      </c>
      <c r="J176" t="s">
        <v>16</v>
      </c>
      <c r="K176" t="s">
        <v>26</v>
      </c>
      <c r="L176" t="s">
        <v>7</v>
      </c>
      <c r="M176" t="s">
        <v>10</v>
      </c>
      <c r="N176" t="s">
        <v>28</v>
      </c>
      <c r="O176" t="s">
        <v>13</v>
      </c>
      <c r="P176" t="s">
        <v>4</v>
      </c>
      <c r="Q176" t="s">
        <v>18</v>
      </c>
      <c r="R176" t="s">
        <v>20</v>
      </c>
      <c r="S176" t="s">
        <v>30</v>
      </c>
      <c r="T176" t="s">
        <v>32</v>
      </c>
      <c r="U176" t="s">
        <v>9</v>
      </c>
    </row>
    <row r="214" spans="17:20">
      <c r="Q214" t="s">
        <v>4</v>
      </c>
      <c r="R214" t="s">
        <v>331</v>
      </c>
      <c r="S214" t="s">
        <v>332</v>
      </c>
      <c r="T214" t="s">
        <v>9</v>
      </c>
    </row>
    <row r="439" spans="17:22">
      <c r="Q439" t="s">
        <v>22</v>
      </c>
      <c r="R439" t="s">
        <v>37</v>
      </c>
      <c r="S439" t="s">
        <v>16</v>
      </c>
      <c r="T439" t="s">
        <v>26</v>
      </c>
      <c r="U439" t="s">
        <v>10</v>
      </c>
      <c r="V439" t="s">
        <v>34</v>
      </c>
    </row>
  </sheetData>
  <phoneticPr fontId="3" type="noConversion"/>
  <pageMargins left="0.7" right="0.7" top="0.75" bottom="0.75" header="0.3" footer="0.3"/>
  <pageSetup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DD7EAC7A1FE641A1538B243DFFF5F5" ma:contentTypeVersion="19" ma:contentTypeDescription="Create a new document." ma:contentTypeScope="" ma:versionID="9d9017e9a6f752589aaa56a2e93bd5aa">
  <xsd:schema xmlns:xsd="http://www.w3.org/2001/XMLSchema" xmlns:xs="http://www.w3.org/2001/XMLSchema" xmlns:p="http://schemas.microsoft.com/office/2006/metadata/properties" xmlns:ns1="http://schemas.microsoft.com/sharepoint/v3" xmlns:ns2="a5c0ad7c-237f-457f-9b15-9a86d00ca5d2" xmlns:ns3="b598fff8-0f79-4285-b15c-a622d6081dca" targetNamespace="http://schemas.microsoft.com/office/2006/metadata/properties" ma:root="true" ma:fieldsID="a2be6ce9f33b331dd90cf0d9fa63f586" ns1:_="" ns2:_="" ns3:_="">
    <xsd:import namespace="http://schemas.microsoft.com/sharepoint/v3"/>
    <xsd:import namespace="a5c0ad7c-237f-457f-9b15-9a86d00ca5d2"/>
    <xsd:import namespace="b598fff8-0f79-4285-b15c-a622d6081d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0ad7c-237f-457f-9b15-9a86d00ca5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8fff8-0f79-4285-b15c-a622d6081dc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ab432c3-0a99-462a-9664-53faddb3a7b8}" ma:internalName="TaxCatchAll" ma:showField="CatchAllData" ma:web="b598fff8-0f79-4285-b15c-a622d6081d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a5c0ad7c-237f-457f-9b15-9a86d00ca5d2">
      <Terms xmlns="http://schemas.microsoft.com/office/infopath/2007/PartnerControls"/>
    </lcf76f155ced4ddcb4097134ff3c332f>
    <TaxCatchAll xmlns="b598fff8-0f79-4285-b15c-a622d6081dca" xsi:nil="true"/>
  </documentManagement>
</p:properties>
</file>

<file path=customXml/itemProps1.xml><?xml version="1.0" encoding="utf-8"?>
<ds:datastoreItem xmlns:ds="http://schemas.openxmlformats.org/officeDocument/2006/customXml" ds:itemID="{EE1E35F1-9A38-405A-8374-0C3D96360B7C}">
  <ds:schemaRefs/>
</ds:datastoreItem>
</file>

<file path=customXml/itemProps2.xml><?xml version="1.0" encoding="utf-8"?>
<ds:datastoreItem xmlns:ds="http://schemas.openxmlformats.org/officeDocument/2006/customXml" ds:itemID="{04FF720C-BFB0-4BC1-8989-202036972615}">
  <ds:schemaRefs/>
</ds:datastoreItem>
</file>

<file path=customXml/itemProps3.xml><?xml version="1.0" encoding="utf-8"?>
<ds:datastoreItem xmlns:ds="http://schemas.openxmlformats.org/officeDocument/2006/customXml" ds:itemID="{5A97AD97-31D7-45A2-9DF3-6318009339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7000019426</dc:creator>
  <cp:lastModifiedBy>章 骏腾</cp:lastModifiedBy>
  <dcterms:created xsi:type="dcterms:W3CDTF">2019-11-21T08:32:00Z</dcterms:created>
  <dcterms:modified xsi:type="dcterms:W3CDTF">2025-01-16T13:06:28Z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ctc-mpeg127-1-g7570c8c_x000d_
</vt:lpwstr>
  </property>
  <property fmtid="{D5CDD505-2E9C-101B-9397-08002B2CF9AE}" pid="4" name="Generated on">
    <vt:filetime>2019-11-21T08:32:50Z</vt:filetime>
  </property>
  <property fmtid="{D5CDD505-2E9C-101B-9397-08002B2CF9AE}" pid="5" name="ContentTypeId">
    <vt:lpwstr>0x010100BDDD7EAC7A1FE641A1538B243DFFF5F5</vt:lpwstr>
  </property>
  <property fmtid="{D5CDD505-2E9C-101B-9397-08002B2CF9AE}" pid="6" name="MediaServiceImageTags">
    <vt:lpwstr/>
  </property>
  <property fmtid="{D5CDD505-2E9C-101B-9397-08002B2CF9AE}" pid="7" name="MSIP_Label_bcf26ed8-713a-4e6c-8a04-66607341a11c_Enabled">
    <vt:lpwstr>true</vt:lpwstr>
  </property>
  <property fmtid="{D5CDD505-2E9C-101B-9397-08002B2CF9AE}" pid="8" name="MSIP_Label_bcf26ed8-713a-4e6c-8a04-66607341a11c_SetDate">
    <vt:lpwstr>2024-04-21T11:53:43Z</vt:lpwstr>
  </property>
  <property fmtid="{D5CDD505-2E9C-101B-9397-08002B2CF9AE}" pid="9" name="MSIP_Label_bcf26ed8-713a-4e6c-8a04-66607341a11c_Method">
    <vt:lpwstr>Privileged</vt:lpwstr>
  </property>
  <property fmtid="{D5CDD505-2E9C-101B-9397-08002B2CF9AE}" pid="10" name="MSIP_Label_bcf26ed8-713a-4e6c-8a04-66607341a11c_Name">
    <vt:lpwstr>Public</vt:lpwstr>
  </property>
  <property fmtid="{D5CDD505-2E9C-101B-9397-08002B2CF9AE}" pid="11" name="MSIP_Label_bcf26ed8-713a-4e6c-8a04-66607341a11c_SiteId">
    <vt:lpwstr>e351b779-f6d5-4e50-8568-80e922d180ae</vt:lpwstr>
  </property>
  <property fmtid="{D5CDD505-2E9C-101B-9397-08002B2CF9AE}" pid="12" name="MSIP_Label_bcf26ed8-713a-4e6c-8a04-66607341a11c_ActionId">
    <vt:lpwstr>ada69fb3-2aef-4dca-8865-0ece5cd16a05</vt:lpwstr>
  </property>
  <property fmtid="{D5CDD505-2E9C-101B-9397-08002B2CF9AE}" pid="13" name="MSIP_Label_bcf26ed8-713a-4e6c-8a04-66607341a11c_ContentBits">
    <vt:lpwstr>0</vt:lpwstr>
  </property>
  <property fmtid="{D5CDD505-2E9C-101B-9397-08002B2CF9AE}" pid="14" name="ICV">
    <vt:lpwstr>EA3E626F031542CBB08D6CB2F908A924_12</vt:lpwstr>
  </property>
  <property fmtid="{D5CDD505-2E9C-101B-9397-08002B2CF9AE}" pid="15" name="KSOProductBuildVer">
    <vt:lpwstr>2052-12.1.0.18276</vt:lpwstr>
  </property>
</Properties>
</file>